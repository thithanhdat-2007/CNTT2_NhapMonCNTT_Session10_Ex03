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BangGiaCuoc" sheetId="1" state="visible" r:id="rId2"/>
    <sheet name="DanhSachDonHang" sheetId="2" state="visible" r:id="rId3"/>
    <sheet name="BaoCaoKPI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<sst xmlns="http://schemas.openxmlformats.org/spreadsheetml/2006/main" count="2054" uniqueCount="567">
  <si>
    <t xml:space="preserve">Mã Tuyến Cước</t>
  </si>
  <si>
    <t xml:space="preserve">Tên Tuyến Giao Hàng</t>
  </si>
  <si>
    <t xml:space="preserve">Giá Cước Chuẩn (VNĐ)</t>
  </si>
  <si>
    <t xml:space="preserve">Thời Gian Toàn Trình (Giờ)</t>
  </si>
  <si>
    <t xml:space="preserve">Ghi Chú Dữ Liệu</t>
  </si>
  <si>
    <t xml:space="preserve">FM-NOI</t>
  </si>
  <si>
    <t xml:space="preserve">Nội thành tiêu chuẩn</t>
  </si>
  <si>
    <t xml:space="preserve">Dữ liệu giả định minh họa</t>
  </si>
  <si>
    <t xml:space="preserve">FM-NHANH</t>
  </si>
  <si>
    <t xml:space="preserve">Nội thành hỏa tốc 2h</t>
  </si>
  <si>
    <t xml:space="preserve">FM-NGOAI</t>
  </si>
  <si>
    <t xml:space="preserve">Ngoại thành tiêu chuẩn</t>
  </si>
  <si>
    <t xml:space="preserve">FM-LIEN</t>
  </si>
  <si>
    <t xml:space="preserve">Liên tỉnh miền Nam</t>
  </si>
  <si>
    <t xml:space="preserve">FM-BAC</t>
  </si>
  <si>
    <t xml:space="preserve">Liên tỉnh miền Bắc</t>
  </si>
  <si>
    <t xml:space="preserve">FM-TRUNG</t>
  </si>
  <si>
    <t xml:space="preserve">Liên tỉnh miền Trung</t>
  </si>
  <si>
    <t xml:space="preserve">FM-CONG</t>
  </si>
  <si>
    <t xml:space="preserve">Hàng cồng kềnh nội đô</t>
  </si>
  <si>
    <t xml:space="preserve">FM-LANH</t>
  </si>
  <si>
    <t xml:space="preserve">Giao hàng bảo quản lạnh</t>
  </si>
  <si>
    <t xml:space="preserve">STT</t>
  </si>
  <si>
    <t xml:space="preserve">Mã Vận Đơn</t>
  </si>
  <si>
    <t xml:space="preserve">Khu Vực Giao</t>
  </si>
  <si>
    <t xml:space="preserve">Trọng Lượng (kg)</t>
  </si>
  <si>
    <t xml:space="preserve">Giá Cước VLOOKUP (VNĐ)</t>
  </si>
  <si>
    <t xml:space="preserve">Trạng Thái Kiểm Tra Mã</t>
  </si>
  <si>
    <t xml:space="preserve">Ghi Chú Kiểm Thử</t>
  </si>
  <si>
    <t xml:space="preserve">FM26-0001</t>
  </si>
  <si>
    <t xml:space="preserve">Quận 1</t>
  </si>
  <si>
    <t xml:space="preserve">Dữ liệu giả định - Hợp lệ</t>
  </si>
  <si>
    <t xml:space="preserve">FM26-0002</t>
  </si>
  <si>
    <t xml:space="preserve">Bình Thạnh</t>
  </si>
  <si>
    <t xml:space="preserve">FM26-0003</t>
  </si>
  <si>
    <t xml:space="preserve">Phú Nhuận</t>
  </si>
  <si>
    <t xml:space="preserve">FM26-0004</t>
  </si>
  <si>
    <t xml:space="preserve">FM26-0005</t>
  </si>
  <si>
    <t xml:space="preserve">FM-NOI#@</t>
  </si>
  <si>
    <t xml:space="preserve">Mã dính ký tự lạ #@ do máy quét lỗi (Kiểm thử IFERROR)</t>
  </si>
  <si>
    <t xml:space="preserve">FM26-0006</t>
  </si>
  <si>
    <t xml:space="preserve">FM26-0007</t>
  </si>
  <si>
    <t xml:space="preserve">FM26-0008</t>
  </si>
  <si>
    <t xml:space="preserve">FM26-0009</t>
  </si>
  <si>
    <t xml:space="preserve">Gò Vấp</t>
  </si>
  <si>
    <t xml:space="preserve">FM26-0010</t>
  </si>
  <si>
    <t xml:space="preserve">FM26-0011</t>
  </si>
  <si>
    <t xml:space="preserve">Quận 3</t>
  </si>
  <si>
    <t xml:space="preserve">FM26-0012</t>
  </si>
  <si>
    <t xml:space="preserve">Tân Bình</t>
  </si>
  <si>
    <t xml:space="preserve">FM26-0013</t>
  </si>
  <si>
    <t xml:space="preserve">FM26-0014</t>
  </si>
  <si>
    <t xml:space="preserve">FM26-0015</t>
  </si>
  <si>
    <t xml:space="preserve">Quận 10</t>
  </si>
  <si>
    <t xml:space="preserve">FM26-0016</t>
  </si>
  <si>
    <t xml:space="preserve">FM26-0017</t>
  </si>
  <si>
    <t xml:space="preserve">FM26-0018</t>
  </si>
  <si>
    <t xml:space="preserve">FM-NHANH*</t>
  </si>
  <si>
    <t xml:space="preserve">Thủ Đức</t>
  </si>
  <si>
    <t xml:space="preserve">Mã dính dấu sao * khi nhập liệu (Kiểm thử IFERROR)</t>
  </si>
  <si>
    <t xml:space="preserve">FM26-0019</t>
  </si>
  <si>
    <t xml:space="preserve">FM26-0020</t>
  </si>
  <si>
    <t xml:space="preserve">FM26-0021</t>
  </si>
  <si>
    <t xml:space="preserve">FM26-0022</t>
  </si>
  <si>
    <t xml:space="preserve">FM26-0023</t>
  </si>
  <si>
    <t xml:space="preserve">Quận 7</t>
  </si>
  <si>
    <t xml:space="preserve">FM26-0024</t>
  </si>
  <si>
    <t xml:space="preserve">FM26-0025</t>
  </si>
  <si>
    <t xml:space="preserve">FM26-0026</t>
  </si>
  <si>
    <t xml:space="preserve">FM26-0027</t>
  </si>
  <si>
    <t xml:space="preserve">FM26-0028</t>
  </si>
  <si>
    <t xml:space="preserve">FM26-0029</t>
  </si>
  <si>
    <t xml:space="preserve">Bình Tân</t>
  </si>
  <si>
    <t xml:space="preserve">FM26-0030</t>
  </si>
  <si>
    <t xml:space="preserve">FM26-0031</t>
  </si>
  <si>
    <t xml:space="preserve">FM26-0032</t>
  </si>
  <si>
    <t xml:space="preserve">FM26-0033</t>
  </si>
  <si>
    <t xml:space="preserve">FM26-0034</t>
  </si>
  <si>
    <t xml:space="preserve">FM26-0035</t>
  </si>
  <si>
    <t xml:space="preserve">FM26-0036</t>
  </si>
  <si>
    <t xml:space="preserve">FM26-0037</t>
  </si>
  <si>
    <t xml:space="preserve">FM26-0038</t>
  </si>
  <si>
    <t xml:space="preserve">FM26-0039</t>
  </si>
  <si>
    <t xml:space="preserve">FM26-0040</t>
  </si>
  <si>
    <t xml:space="preserve">FM26-0041</t>
  </si>
  <si>
    <t xml:space="preserve">FM26-0042</t>
  </si>
  <si>
    <t xml:space="preserve">FM-LIEN?</t>
  </si>
  <si>
    <t xml:space="preserve">Mã dính dấu hỏi ? (Kiểm thử IFERROR)</t>
  </si>
  <si>
    <t xml:space="preserve">FM26-0043</t>
  </si>
  <si>
    <t xml:space="preserve">FM26-0044</t>
  </si>
  <si>
    <t xml:space="preserve">FM26-0045</t>
  </si>
  <si>
    <t xml:space="preserve">FM26-0046</t>
  </si>
  <si>
    <t xml:space="preserve">FM26-0047</t>
  </si>
  <si>
    <t xml:space="preserve">FM26-0048</t>
  </si>
  <si>
    <t xml:space="preserve">FM26-0049</t>
  </si>
  <si>
    <t xml:space="preserve">FM26-0050</t>
  </si>
  <si>
    <t xml:space="preserve">FM26-0051</t>
  </si>
  <si>
    <t xml:space="preserve">FM26-0052</t>
  </si>
  <si>
    <t xml:space="preserve">FM26-0053</t>
  </si>
  <si>
    <t xml:space="preserve">FM26-0054</t>
  </si>
  <si>
    <t xml:space="preserve">FM26-0055</t>
  </si>
  <si>
    <t xml:space="preserve">FM26-0056</t>
  </si>
  <si>
    <t xml:space="preserve">FM26-0057</t>
  </si>
  <si>
    <t xml:space="preserve">FM26-0058</t>
  </si>
  <si>
    <t xml:space="preserve">FM26-0059</t>
  </si>
  <si>
    <t xml:space="preserve">FM26-0060</t>
  </si>
  <si>
    <t xml:space="preserve">FM26-0061</t>
  </si>
  <si>
    <t xml:space="preserve">FM26-0062</t>
  </si>
  <si>
    <t xml:space="preserve">FM26-0063</t>
  </si>
  <si>
    <t xml:space="preserve">FM26-0064</t>
  </si>
  <si>
    <t xml:space="preserve">FM26-0065</t>
  </si>
  <si>
    <t xml:space="preserve">FM26-0066</t>
  </si>
  <si>
    <t xml:space="preserve">FM26-0067</t>
  </si>
  <si>
    <t xml:space="preserve">FM26-0068</t>
  </si>
  <si>
    <t xml:space="preserve">FM26-0069</t>
  </si>
  <si>
    <t xml:space="preserve">FM26-0070</t>
  </si>
  <si>
    <t xml:space="preserve">FM26-0071</t>
  </si>
  <si>
    <t xml:space="preserve">FM26-0072</t>
  </si>
  <si>
    <t xml:space="preserve">FM26-0073</t>
  </si>
  <si>
    <t xml:space="preserve">FM26-0074</t>
  </si>
  <si>
    <t xml:space="preserve">FM26-0075</t>
  </si>
  <si>
    <t xml:space="preserve">FM26-0076</t>
  </si>
  <si>
    <t xml:space="preserve">FM26-0077</t>
  </si>
  <si>
    <t xml:space="preserve">FM26-0078</t>
  </si>
  <si>
    <t xml:space="preserve">FM26-0079</t>
  </si>
  <si>
    <t xml:space="preserve">FM26-0080</t>
  </si>
  <si>
    <t xml:space="preserve">FM26-0081</t>
  </si>
  <si>
    <t xml:space="preserve">FM26-0082</t>
  </si>
  <si>
    <t xml:space="preserve">FM26-0083</t>
  </si>
  <si>
    <t xml:space="preserve">FM26-0084</t>
  </si>
  <si>
    <t xml:space="preserve">FM26-0085</t>
  </si>
  <si>
    <t xml:space="preserve">FM26-0086</t>
  </si>
  <si>
    <t xml:space="preserve">FM26-0087</t>
  </si>
  <si>
    <t xml:space="preserve">FM26-0088</t>
  </si>
  <si>
    <t xml:space="preserve">FM26-0089</t>
  </si>
  <si>
    <t xml:space="preserve">FM26-0090</t>
  </si>
  <si>
    <t xml:space="preserve">FM26-0091</t>
  </si>
  <si>
    <t xml:space="preserve">FM26-0092</t>
  </si>
  <si>
    <t xml:space="preserve">FM26-0093</t>
  </si>
  <si>
    <t xml:space="preserve">FM26-0094</t>
  </si>
  <si>
    <t xml:space="preserve">FM26-0095</t>
  </si>
  <si>
    <t xml:space="preserve">FM26-0096</t>
  </si>
  <si>
    <t xml:space="preserve">FM26-0097</t>
  </si>
  <si>
    <t xml:space="preserve">FM26-0098</t>
  </si>
  <si>
    <t xml:space="preserve">FM26-0099</t>
  </si>
  <si>
    <t xml:space="preserve">FM26-0100</t>
  </si>
  <si>
    <t xml:space="preserve">FM26-0101</t>
  </si>
  <si>
    <t xml:space="preserve">FM26-0102</t>
  </si>
  <si>
    <t xml:space="preserve">FM26-0103</t>
  </si>
  <si>
    <t xml:space="preserve">FM26-0104</t>
  </si>
  <si>
    <t xml:space="preserve">FM26-0105</t>
  </si>
  <si>
    <t xml:space="preserve">FM-SAI$$</t>
  </si>
  <si>
    <t xml:space="preserve">Mã chứa ký tự $ lạ (Kiểm thử IFERROR)</t>
  </si>
  <si>
    <t xml:space="preserve">FM26-0106</t>
  </si>
  <si>
    <t xml:space="preserve">FM26-0107</t>
  </si>
  <si>
    <t xml:space="preserve">FM26-0108</t>
  </si>
  <si>
    <t xml:space="preserve">FM26-0109</t>
  </si>
  <si>
    <t xml:space="preserve">FM26-0110</t>
  </si>
  <si>
    <t xml:space="preserve">FM26-0111</t>
  </si>
  <si>
    <t xml:space="preserve">FM26-0112</t>
  </si>
  <si>
    <t xml:space="preserve">FM26-0113</t>
  </si>
  <si>
    <t xml:space="preserve">FM26-0114</t>
  </si>
  <si>
    <t xml:space="preserve">FM26-0115</t>
  </si>
  <si>
    <t xml:space="preserve">FM26-0116</t>
  </si>
  <si>
    <t xml:space="preserve">FM26-0117</t>
  </si>
  <si>
    <t xml:space="preserve">FM26-0118</t>
  </si>
  <si>
    <t xml:space="preserve">FM26-0119</t>
  </si>
  <si>
    <t xml:space="preserve">FM26-0120</t>
  </si>
  <si>
    <t xml:space="preserve">FM26-0121</t>
  </si>
  <si>
    <t xml:space="preserve">FM26-0122</t>
  </si>
  <si>
    <t xml:space="preserve">FM26-0123</t>
  </si>
  <si>
    <t xml:space="preserve">FM26-0124</t>
  </si>
  <si>
    <t xml:space="preserve">FM26-0125</t>
  </si>
  <si>
    <t xml:space="preserve">FM26-0126</t>
  </si>
  <si>
    <t xml:space="preserve">FM26-0127</t>
  </si>
  <si>
    <t xml:space="preserve">FM26-0128</t>
  </si>
  <si>
    <t xml:space="preserve">FM26-0129</t>
  </si>
  <si>
    <t xml:space="preserve">FM26-0130</t>
  </si>
  <si>
    <t xml:space="preserve">FM26-0131</t>
  </si>
  <si>
    <t xml:space="preserve">FM26-0132</t>
  </si>
  <si>
    <t xml:space="preserve">FM26-0133</t>
  </si>
  <si>
    <t xml:space="preserve">FM26-0134</t>
  </si>
  <si>
    <t xml:space="preserve">FM26-0135</t>
  </si>
  <si>
    <t xml:space="preserve">FM26-0136</t>
  </si>
  <si>
    <t xml:space="preserve">FM26-0137</t>
  </si>
  <si>
    <t xml:space="preserve">FM26-0138</t>
  </si>
  <si>
    <t xml:space="preserve">FM26-0139</t>
  </si>
  <si>
    <t xml:space="preserve">FM26-0140</t>
  </si>
  <si>
    <t xml:space="preserve">FM26-0141</t>
  </si>
  <si>
    <t xml:space="preserve">FM26-0142</t>
  </si>
  <si>
    <t xml:space="preserve">FM26-0143</t>
  </si>
  <si>
    <t xml:space="preserve">FM26-0144</t>
  </si>
  <si>
    <t xml:space="preserve">FM26-0145</t>
  </si>
  <si>
    <t xml:space="preserve">FM26-0146</t>
  </si>
  <si>
    <t xml:space="preserve">FM26-0147</t>
  </si>
  <si>
    <t xml:space="preserve">FM26-0148</t>
  </si>
  <si>
    <t xml:space="preserve">FM26-0149</t>
  </si>
  <si>
    <t xml:space="preserve">FM26-0150</t>
  </si>
  <si>
    <t xml:space="preserve">FM26-0151</t>
  </si>
  <si>
    <t xml:space="preserve">FM26-0152</t>
  </si>
  <si>
    <t xml:space="preserve">FM26-0153</t>
  </si>
  <si>
    <t xml:space="preserve">FM26-0154</t>
  </si>
  <si>
    <t xml:space="preserve">FM26-0155</t>
  </si>
  <si>
    <t xml:space="preserve">FM26-0156</t>
  </si>
  <si>
    <t xml:space="preserve">FM26-0157</t>
  </si>
  <si>
    <t xml:space="preserve">FM26-0158</t>
  </si>
  <si>
    <t xml:space="preserve">FM26-0159</t>
  </si>
  <si>
    <t xml:space="preserve">FM26-0160</t>
  </si>
  <si>
    <t xml:space="preserve">FM26-0161</t>
  </si>
  <si>
    <t xml:space="preserve">FM26-0162</t>
  </si>
  <si>
    <t xml:space="preserve">FM26-0163</t>
  </si>
  <si>
    <t xml:space="preserve">FM26-0164</t>
  </si>
  <si>
    <t xml:space="preserve">FM26-0165</t>
  </si>
  <si>
    <t xml:space="preserve">FM26-0166</t>
  </si>
  <si>
    <t xml:space="preserve">FM26-0167</t>
  </si>
  <si>
    <t xml:space="preserve">FM26-0168</t>
  </si>
  <si>
    <t xml:space="preserve">FM26-0169</t>
  </si>
  <si>
    <t xml:space="preserve">FM26-0170</t>
  </si>
  <si>
    <t xml:space="preserve">FM26-0171</t>
  </si>
  <si>
    <t xml:space="preserve">FM26-0172</t>
  </si>
  <si>
    <t xml:space="preserve">FM26-0173</t>
  </si>
  <si>
    <t xml:space="preserve">FM26-0174</t>
  </si>
  <si>
    <t xml:space="preserve">FM26-0175</t>
  </si>
  <si>
    <t xml:space="preserve">FM26-0176</t>
  </si>
  <si>
    <t xml:space="preserve">FM26-0177</t>
  </si>
  <si>
    <t xml:space="preserve">FM26-0178</t>
  </si>
  <si>
    <t xml:space="preserve">FM26-0179</t>
  </si>
  <si>
    <t xml:space="preserve">FM26-0180</t>
  </si>
  <si>
    <t xml:space="preserve">FM26-0181</t>
  </si>
  <si>
    <t xml:space="preserve">FM26-0182</t>
  </si>
  <si>
    <t xml:space="preserve">FM26-0183</t>
  </si>
  <si>
    <t xml:space="preserve">FM26-0184</t>
  </si>
  <si>
    <t xml:space="preserve">FM26-0185</t>
  </si>
  <si>
    <t xml:space="preserve">FM26-0186</t>
  </si>
  <si>
    <t xml:space="preserve">FM26-0187</t>
  </si>
  <si>
    <t xml:space="preserve">FM26-0188</t>
  </si>
  <si>
    <t xml:space="preserve">FM26-0189</t>
  </si>
  <si>
    <t xml:space="preserve">FM26-0190</t>
  </si>
  <si>
    <t xml:space="preserve">FM26-0191</t>
  </si>
  <si>
    <t xml:space="preserve">FM26-0192</t>
  </si>
  <si>
    <t xml:space="preserve">FM26-0193</t>
  </si>
  <si>
    <t xml:space="preserve">FM26-0194</t>
  </si>
  <si>
    <t xml:space="preserve">FM26-0195</t>
  </si>
  <si>
    <t xml:space="preserve">FM26-0196</t>
  </si>
  <si>
    <t xml:space="preserve">FM26-0197</t>
  </si>
  <si>
    <t xml:space="preserve">FM26-0198</t>
  </si>
  <si>
    <t xml:space="preserve">FM26-0199</t>
  </si>
  <si>
    <t xml:space="preserve">FM26-0200</t>
  </si>
  <si>
    <t xml:space="preserve">FM26-0201</t>
  </si>
  <si>
    <t xml:space="preserve">FM26-0202</t>
  </si>
  <si>
    <t xml:space="preserve">FM26-0203</t>
  </si>
  <si>
    <t xml:space="preserve">FM26-0204</t>
  </si>
  <si>
    <t xml:space="preserve">FM26-0205</t>
  </si>
  <si>
    <t xml:space="preserve">FM26-0206</t>
  </si>
  <si>
    <t xml:space="preserve">FM26-0207</t>
  </si>
  <si>
    <t xml:space="preserve">FM26-0208</t>
  </si>
  <si>
    <t xml:space="preserve">FM26-0209</t>
  </si>
  <si>
    <t xml:space="preserve">FM26-0210</t>
  </si>
  <si>
    <t xml:space="preserve">FM26-0211</t>
  </si>
  <si>
    <t xml:space="preserve">FM26-0212</t>
  </si>
  <si>
    <t xml:space="preserve">FM26-0213</t>
  </si>
  <si>
    <t xml:space="preserve">FM26-0214</t>
  </si>
  <si>
    <t xml:space="preserve">FM26-0215</t>
  </si>
  <si>
    <t xml:space="preserve">FM26-0216</t>
  </si>
  <si>
    <t xml:space="preserve">FM26-0217</t>
  </si>
  <si>
    <t xml:space="preserve">FM26-0218</t>
  </si>
  <si>
    <t xml:space="preserve">FM26-0219</t>
  </si>
  <si>
    <t xml:space="preserve">FM26-0220</t>
  </si>
  <si>
    <t xml:space="preserve">FM26-0221</t>
  </si>
  <si>
    <t xml:space="preserve">FM26-0222</t>
  </si>
  <si>
    <t xml:space="preserve">FM26-0223</t>
  </si>
  <si>
    <t xml:space="preserve">FM26-0224</t>
  </si>
  <si>
    <t xml:space="preserve">FM26-0225</t>
  </si>
  <si>
    <t xml:space="preserve">FM26-0226</t>
  </si>
  <si>
    <t xml:space="preserve">FM26-0227</t>
  </si>
  <si>
    <t xml:space="preserve">FM26-0228</t>
  </si>
  <si>
    <t xml:space="preserve">FM26-0229</t>
  </si>
  <si>
    <t xml:space="preserve">FM26-0230</t>
  </si>
  <si>
    <t xml:space="preserve">FM26-0231</t>
  </si>
  <si>
    <t xml:space="preserve">FM26-0232</t>
  </si>
  <si>
    <t xml:space="preserve">FM26-0233</t>
  </si>
  <si>
    <t xml:space="preserve">FM26-0234</t>
  </si>
  <si>
    <t xml:space="preserve">FM26-0235</t>
  </si>
  <si>
    <t xml:space="preserve">FM26-0236</t>
  </si>
  <si>
    <t xml:space="preserve">FM26-0237</t>
  </si>
  <si>
    <t xml:space="preserve">FM26-0238</t>
  </si>
  <si>
    <t xml:space="preserve">FM26-0239</t>
  </si>
  <si>
    <t xml:space="preserve">FM26-0240</t>
  </si>
  <si>
    <t xml:space="preserve">FM26-0241</t>
  </si>
  <si>
    <t xml:space="preserve">FM26-0242</t>
  </si>
  <si>
    <t xml:space="preserve">FM26-0243</t>
  </si>
  <si>
    <t xml:space="preserve">FM26-0244</t>
  </si>
  <si>
    <t xml:space="preserve">FM26-0245</t>
  </si>
  <si>
    <t xml:space="preserve">FM26-0246</t>
  </si>
  <si>
    <t xml:space="preserve">FM26-0247</t>
  </si>
  <si>
    <t xml:space="preserve">FM26-0248</t>
  </si>
  <si>
    <t xml:space="preserve">FM26-0249</t>
  </si>
  <si>
    <t xml:space="preserve">FM26-0250</t>
  </si>
  <si>
    <t xml:space="preserve">FM-ERROR!</t>
  </si>
  <si>
    <t xml:space="preserve">Mã tuyến không tồn tại trong bảng giá (Kiểm thử IFERROR)</t>
  </si>
  <si>
    <t xml:space="preserve">FM26-0251</t>
  </si>
  <si>
    <t xml:space="preserve">FM26-0252</t>
  </si>
  <si>
    <t xml:space="preserve">FM26-0253</t>
  </si>
  <si>
    <t xml:space="preserve">FM26-0254</t>
  </si>
  <si>
    <t xml:space="preserve">FM26-0255</t>
  </si>
  <si>
    <t xml:space="preserve">FM26-0256</t>
  </si>
  <si>
    <t xml:space="preserve">FM26-0257</t>
  </si>
  <si>
    <t xml:space="preserve">FM26-0258</t>
  </si>
  <si>
    <t xml:space="preserve">FM26-0259</t>
  </si>
  <si>
    <t xml:space="preserve">FM26-0260</t>
  </si>
  <si>
    <t xml:space="preserve">FM26-0261</t>
  </si>
  <si>
    <t xml:space="preserve">FM26-0262</t>
  </si>
  <si>
    <t xml:space="preserve">FM26-0263</t>
  </si>
  <si>
    <t xml:space="preserve">FM26-0264</t>
  </si>
  <si>
    <t xml:space="preserve">FM26-0265</t>
  </si>
  <si>
    <t xml:space="preserve">FM26-0266</t>
  </si>
  <si>
    <t xml:space="preserve">FM26-0267</t>
  </si>
  <si>
    <t xml:space="preserve">FM26-0268</t>
  </si>
  <si>
    <t xml:space="preserve">FM26-0269</t>
  </si>
  <si>
    <t xml:space="preserve">FM26-0270</t>
  </si>
  <si>
    <t xml:space="preserve">FM26-0271</t>
  </si>
  <si>
    <t xml:space="preserve">FM26-0272</t>
  </si>
  <si>
    <t xml:space="preserve">FM26-0273</t>
  </si>
  <si>
    <t xml:space="preserve">FM26-0274</t>
  </si>
  <si>
    <t xml:space="preserve">FM26-0275</t>
  </si>
  <si>
    <t xml:space="preserve">FM26-0276</t>
  </si>
  <si>
    <t xml:space="preserve">FM26-0277</t>
  </si>
  <si>
    <t xml:space="preserve">FM26-0278</t>
  </si>
  <si>
    <t xml:space="preserve">FM26-0279</t>
  </si>
  <si>
    <t xml:space="preserve">FM26-0280</t>
  </si>
  <si>
    <t xml:space="preserve">FM26-0281</t>
  </si>
  <si>
    <t xml:space="preserve">FM26-0282</t>
  </si>
  <si>
    <t xml:space="preserve">FM26-0283</t>
  </si>
  <si>
    <t xml:space="preserve">FM26-0284</t>
  </si>
  <si>
    <t xml:space="preserve">FM26-0285</t>
  </si>
  <si>
    <t xml:space="preserve">FM26-0286</t>
  </si>
  <si>
    <t xml:space="preserve">FM26-0287</t>
  </si>
  <si>
    <t xml:space="preserve">FM26-0288</t>
  </si>
  <si>
    <t xml:space="preserve">FM26-0289</t>
  </si>
  <si>
    <t xml:space="preserve">FM26-0290</t>
  </si>
  <si>
    <t xml:space="preserve">FM26-0291</t>
  </si>
  <si>
    <t xml:space="preserve">FM26-0292</t>
  </si>
  <si>
    <t xml:space="preserve">FM26-0293</t>
  </si>
  <si>
    <t xml:space="preserve">FM26-0294</t>
  </si>
  <si>
    <t xml:space="preserve">FM26-0295</t>
  </si>
  <si>
    <t xml:space="preserve">FM26-0296</t>
  </si>
  <si>
    <t xml:space="preserve">FM26-0297</t>
  </si>
  <si>
    <t xml:space="preserve">FM26-0298</t>
  </si>
  <si>
    <t xml:space="preserve">FM26-0299</t>
  </si>
  <si>
    <t xml:space="preserve">FM26-0300</t>
  </si>
  <si>
    <t xml:space="preserve">FM26-0301</t>
  </si>
  <si>
    <t xml:space="preserve">FM26-0302</t>
  </si>
  <si>
    <t xml:space="preserve">FM26-0303</t>
  </si>
  <si>
    <t xml:space="preserve">FM26-0304</t>
  </si>
  <si>
    <t xml:space="preserve">FM26-0305</t>
  </si>
  <si>
    <t xml:space="preserve">FM26-0306</t>
  </si>
  <si>
    <t xml:space="preserve">FM26-0307</t>
  </si>
  <si>
    <t xml:space="preserve">FM26-0308</t>
  </si>
  <si>
    <t xml:space="preserve">FM26-0309</t>
  </si>
  <si>
    <t xml:space="preserve">FM26-0310</t>
  </si>
  <si>
    <t xml:space="preserve">FM26-0311</t>
  </si>
  <si>
    <t xml:space="preserve">FM26-0312</t>
  </si>
  <si>
    <t xml:space="preserve">FM26-0313</t>
  </si>
  <si>
    <t xml:space="preserve">FM26-0314</t>
  </si>
  <si>
    <t xml:space="preserve">FM26-0315</t>
  </si>
  <si>
    <t xml:space="preserve">FM26-0316</t>
  </si>
  <si>
    <t xml:space="preserve">FM26-0317</t>
  </si>
  <si>
    <t xml:space="preserve">FM26-0318</t>
  </si>
  <si>
    <t xml:space="preserve">FM26-0319</t>
  </si>
  <si>
    <t xml:space="preserve">FM26-0320</t>
  </si>
  <si>
    <t xml:space="preserve">FM26-0321</t>
  </si>
  <si>
    <t xml:space="preserve">FM26-0322</t>
  </si>
  <si>
    <t xml:space="preserve">FM26-0323</t>
  </si>
  <si>
    <t xml:space="preserve">FM26-0324</t>
  </si>
  <si>
    <t xml:space="preserve">FM26-0325</t>
  </si>
  <si>
    <t xml:space="preserve">FM26-0326</t>
  </si>
  <si>
    <t xml:space="preserve">FM26-0327</t>
  </si>
  <si>
    <t xml:space="preserve">FM26-0328</t>
  </si>
  <si>
    <t xml:space="preserve">FM26-0329</t>
  </si>
  <si>
    <t xml:space="preserve">FM26-0330</t>
  </si>
  <si>
    <t xml:space="preserve">FM26-0331</t>
  </si>
  <si>
    <t xml:space="preserve">FM26-0332</t>
  </si>
  <si>
    <t xml:space="preserve">FM26-0333</t>
  </si>
  <si>
    <t xml:space="preserve">FM26-0334</t>
  </si>
  <si>
    <t xml:space="preserve">FM26-0335</t>
  </si>
  <si>
    <t xml:space="preserve">FM26-0336</t>
  </si>
  <si>
    <t xml:space="preserve">FM26-0337</t>
  </si>
  <si>
    <t xml:space="preserve">FM26-0338</t>
  </si>
  <si>
    <t xml:space="preserve">FM26-0339</t>
  </si>
  <si>
    <t xml:space="preserve">FM26-0340</t>
  </si>
  <si>
    <t xml:space="preserve">FM26-0341</t>
  </si>
  <si>
    <t xml:space="preserve">FM26-0342</t>
  </si>
  <si>
    <t xml:space="preserve">FM26-0343</t>
  </si>
  <si>
    <t xml:space="preserve">FM26-0344</t>
  </si>
  <si>
    <t xml:space="preserve">FM26-0345</t>
  </si>
  <si>
    <t xml:space="preserve">FM26-0346</t>
  </si>
  <si>
    <t xml:space="preserve">FM26-0347</t>
  </si>
  <si>
    <t xml:space="preserve">FM26-0348</t>
  </si>
  <si>
    <t xml:space="preserve">FM26-0349</t>
  </si>
  <si>
    <t xml:space="preserve">FM26-0350</t>
  </si>
  <si>
    <t xml:space="preserve">FM26-0351</t>
  </si>
  <si>
    <t xml:space="preserve">FM26-0352</t>
  </si>
  <si>
    <t xml:space="preserve">FM26-0353</t>
  </si>
  <si>
    <t xml:space="preserve">FM26-0354</t>
  </si>
  <si>
    <t xml:space="preserve">FM26-0355</t>
  </si>
  <si>
    <t xml:space="preserve">FM26-0356</t>
  </si>
  <si>
    <t xml:space="preserve">FM26-0357</t>
  </si>
  <si>
    <t xml:space="preserve">FM26-0358</t>
  </si>
  <si>
    <t xml:space="preserve">FM26-0359</t>
  </si>
  <si>
    <t xml:space="preserve">FM26-0360</t>
  </si>
  <si>
    <t xml:space="preserve">FM26-0361</t>
  </si>
  <si>
    <t xml:space="preserve">FM26-0362</t>
  </si>
  <si>
    <t xml:space="preserve">FM26-0363</t>
  </si>
  <si>
    <t xml:space="preserve">FM26-0364</t>
  </si>
  <si>
    <t xml:space="preserve">FM26-0365</t>
  </si>
  <si>
    <t xml:space="preserve">FM26-0366</t>
  </si>
  <si>
    <t xml:space="preserve">FM26-0367</t>
  </si>
  <si>
    <t xml:space="preserve">FM26-0368</t>
  </si>
  <si>
    <t xml:space="preserve">FM26-0369</t>
  </si>
  <si>
    <t xml:space="preserve">FM26-0370</t>
  </si>
  <si>
    <t xml:space="preserve">FM26-0371</t>
  </si>
  <si>
    <t xml:space="preserve">FM26-0372</t>
  </si>
  <si>
    <t xml:space="preserve">FM26-0373</t>
  </si>
  <si>
    <t xml:space="preserve">FM26-0374</t>
  </si>
  <si>
    <t xml:space="preserve">FM26-0375</t>
  </si>
  <si>
    <t xml:space="preserve">FM26-0376</t>
  </si>
  <si>
    <t xml:space="preserve">FM26-0377</t>
  </si>
  <si>
    <t xml:space="preserve">FM26-0378</t>
  </si>
  <si>
    <t xml:space="preserve">FM26-0379</t>
  </si>
  <si>
    <t xml:space="preserve">FM26-0380</t>
  </si>
  <si>
    <t xml:space="preserve">FM26-0381</t>
  </si>
  <si>
    <t xml:space="preserve">FM26-0382</t>
  </si>
  <si>
    <t xml:space="preserve">FM26-0383</t>
  </si>
  <si>
    <t xml:space="preserve">FM26-0384</t>
  </si>
  <si>
    <t xml:space="preserve">FM26-0385</t>
  </si>
  <si>
    <t xml:space="preserve">FM26-0386</t>
  </si>
  <si>
    <t xml:space="preserve">FM26-0387</t>
  </si>
  <si>
    <t xml:space="preserve">FM26-0388</t>
  </si>
  <si>
    <t xml:space="preserve">FM26-0389</t>
  </si>
  <si>
    <t xml:space="preserve">FM26-0390</t>
  </si>
  <si>
    <t xml:space="preserve">FM26-0391</t>
  </si>
  <si>
    <t xml:space="preserve">FM26-0392</t>
  </si>
  <si>
    <t xml:space="preserve">FM26-0393</t>
  </si>
  <si>
    <t xml:space="preserve">FM26-0394</t>
  </si>
  <si>
    <t xml:space="preserve">FM26-0395</t>
  </si>
  <si>
    <t xml:space="preserve">FM26-0396</t>
  </si>
  <si>
    <t xml:space="preserve">FM26-0397</t>
  </si>
  <si>
    <t xml:space="preserve">FM26-0398</t>
  </si>
  <si>
    <t xml:space="preserve">FM26-0399</t>
  </si>
  <si>
    <t xml:space="preserve">FM26-0400</t>
  </si>
  <si>
    <t xml:space="preserve">FM26-0401</t>
  </si>
  <si>
    <t xml:space="preserve">FM26-0402</t>
  </si>
  <si>
    <t xml:space="preserve">FM26-0403</t>
  </si>
  <si>
    <t xml:space="preserve">FM26-0404</t>
  </si>
  <si>
    <t xml:space="preserve">FM26-0405</t>
  </si>
  <si>
    <t xml:space="preserve">FM26-0406</t>
  </si>
  <si>
    <t xml:space="preserve">FM26-0407</t>
  </si>
  <si>
    <t xml:space="preserve">FM26-0408</t>
  </si>
  <si>
    <t xml:space="preserve">FM26-0409</t>
  </si>
  <si>
    <t xml:space="preserve">FM26-0410</t>
  </si>
  <si>
    <t xml:space="preserve">FM26-0411</t>
  </si>
  <si>
    <t xml:space="preserve">FM26-0412</t>
  </si>
  <si>
    <t xml:space="preserve">FM26-0413</t>
  </si>
  <si>
    <t xml:space="preserve">FM26-0414</t>
  </si>
  <si>
    <t xml:space="preserve">FM26-0415</t>
  </si>
  <si>
    <t xml:space="preserve">FM26-0416</t>
  </si>
  <si>
    <t xml:space="preserve">FM26-0417</t>
  </si>
  <si>
    <t xml:space="preserve">FM26-0418</t>
  </si>
  <si>
    <t xml:space="preserve">FM26-0419</t>
  </si>
  <si>
    <t xml:space="preserve">FM26-0420</t>
  </si>
  <si>
    <t xml:space="preserve">FM26-0421</t>
  </si>
  <si>
    <t xml:space="preserve">FM26-0422</t>
  </si>
  <si>
    <t xml:space="preserve">FM26-0423</t>
  </si>
  <si>
    <t xml:space="preserve">FM26-0424</t>
  </si>
  <si>
    <t xml:space="preserve">FM26-0425</t>
  </si>
  <si>
    <t xml:space="preserve">FM26-0426</t>
  </si>
  <si>
    <t xml:space="preserve">FM26-0427</t>
  </si>
  <si>
    <t xml:space="preserve">FM26-0428</t>
  </si>
  <si>
    <t xml:space="preserve">FM26-0429</t>
  </si>
  <si>
    <t xml:space="preserve">FM26-0430</t>
  </si>
  <si>
    <t xml:space="preserve">FM26-0431</t>
  </si>
  <si>
    <t xml:space="preserve">FM26-0432</t>
  </si>
  <si>
    <t xml:space="preserve">FM26-0433</t>
  </si>
  <si>
    <t xml:space="preserve">FM26-0434</t>
  </si>
  <si>
    <t xml:space="preserve">FM26-0435</t>
  </si>
  <si>
    <t xml:space="preserve">FM26-0436</t>
  </si>
  <si>
    <t xml:space="preserve">FM26-0437</t>
  </si>
  <si>
    <t xml:space="preserve">FM26-0438</t>
  </si>
  <si>
    <t xml:space="preserve">FM26-0439</t>
  </si>
  <si>
    <t xml:space="preserve">FM26-0440</t>
  </si>
  <si>
    <t xml:space="preserve">FM26-0441</t>
  </si>
  <si>
    <t xml:space="preserve">FM26-0442</t>
  </si>
  <si>
    <t xml:space="preserve">FM26-0443</t>
  </si>
  <si>
    <t xml:space="preserve">FM26-0444</t>
  </si>
  <si>
    <t xml:space="preserve">FM26-0445</t>
  </si>
  <si>
    <t xml:space="preserve">FM26-0446</t>
  </si>
  <si>
    <t xml:space="preserve">FM26-0447</t>
  </si>
  <si>
    <t xml:space="preserve">FM26-0448</t>
  </si>
  <si>
    <t xml:space="preserve">FM26-0449</t>
  </si>
  <si>
    <t xml:space="preserve">FM26-0450</t>
  </si>
  <si>
    <t xml:space="preserve">FM26-0451</t>
  </si>
  <si>
    <t xml:space="preserve">FM26-0452</t>
  </si>
  <si>
    <t xml:space="preserve">FM26-0453</t>
  </si>
  <si>
    <t xml:space="preserve">FM26-0454</t>
  </si>
  <si>
    <t xml:space="preserve">FM26-0455</t>
  </si>
  <si>
    <t xml:space="preserve">FM26-0456</t>
  </si>
  <si>
    <t xml:space="preserve">FM26-0457</t>
  </si>
  <si>
    <t xml:space="preserve">FM26-0458</t>
  </si>
  <si>
    <t xml:space="preserve">FM26-0459</t>
  </si>
  <si>
    <t xml:space="preserve">FM26-0460</t>
  </si>
  <si>
    <t xml:space="preserve">FM26-0461</t>
  </si>
  <si>
    <t xml:space="preserve">FM26-0462</t>
  </si>
  <si>
    <t xml:space="preserve">FM26-0463</t>
  </si>
  <si>
    <t xml:space="preserve">FM26-0464</t>
  </si>
  <si>
    <t xml:space="preserve">FM26-0465</t>
  </si>
  <si>
    <t xml:space="preserve">FM26-0466</t>
  </si>
  <si>
    <t xml:space="preserve">FM26-0467</t>
  </si>
  <si>
    <t xml:space="preserve">FM26-0468</t>
  </si>
  <si>
    <t xml:space="preserve">FM26-0469</t>
  </si>
  <si>
    <t xml:space="preserve">FM26-0470</t>
  </si>
  <si>
    <t xml:space="preserve">FM26-0471</t>
  </si>
  <si>
    <t xml:space="preserve">FM26-0472</t>
  </si>
  <si>
    <t xml:space="preserve">FM26-0473</t>
  </si>
  <si>
    <t xml:space="preserve">FM26-0474</t>
  </si>
  <si>
    <t xml:space="preserve">FM26-0475</t>
  </si>
  <si>
    <t xml:space="preserve">FM26-0476</t>
  </si>
  <si>
    <t xml:space="preserve">FM26-0477</t>
  </si>
  <si>
    <t xml:space="preserve">FM26-0478</t>
  </si>
  <si>
    <t xml:space="preserve">FM26-0479</t>
  </si>
  <si>
    <t xml:space="preserve">FM26-0480</t>
  </si>
  <si>
    <t xml:space="preserve">FM26-0481</t>
  </si>
  <si>
    <t xml:space="preserve">FM26-0482</t>
  </si>
  <si>
    <t xml:space="preserve">FM26-0483</t>
  </si>
  <si>
    <t xml:space="preserve">FM26-0484</t>
  </si>
  <si>
    <t xml:space="preserve">FM26-0485</t>
  </si>
  <si>
    <t xml:space="preserve">FM26-0486</t>
  </si>
  <si>
    <t xml:space="preserve">FM26-0487</t>
  </si>
  <si>
    <t xml:space="preserve">FM26-0488</t>
  </si>
  <si>
    <t xml:space="preserve">FM26-0489</t>
  </si>
  <si>
    <t xml:space="preserve">FM26-0490</t>
  </si>
  <si>
    <t xml:space="preserve">FM26-0491</t>
  </si>
  <si>
    <t xml:space="preserve">FM26-0492</t>
  </si>
  <si>
    <t xml:space="preserve">FM26-0493</t>
  </si>
  <si>
    <t xml:space="preserve">FM26-0494</t>
  </si>
  <si>
    <t xml:space="preserve">FM26-0495</t>
  </si>
  <si>
    <t xml:space="preserve">FM26-0496</t>
  </si>
  <si>
    <t xml:space="preserve">FM26-0497</t>
  </si>
  <si>
    <t xml:space="preserve">FM26-0498</t>
  </si>
  <si>
    <t xml:space="preserve">FM26-0499</t>
  </si>
  <si>
    <t xml:space="preserve">FM26-0500</t>
  </si>
  <si>
    <t xml:space="preserve">TONG-CONG</t>
  </si>
  <si>
    <t xml:space="preserve">Tất cả tuyến</t>
  </si>
  <si>
    <t xml:space="preserve">Toàn hệ thống</t>
  </si>
  <si>
    <t xml:space="preserve">Tổng cộng 500 đơn hàng giả định</t>
  </si>
  <si>
    <t xml:space="preserve">Trạm Giao Hàng</t>
  </si>
  <si>
    <t xml:space="preserve">Tổng Đơn Giao</t>
  </si>
  <si>
    <t xml:space="preserve">Đơn Đúng Hạn</t>
  </si>
  <si>
    <t xml:space="preserve">Tỷ Lệ Đúng Hạn (%)</t>
  </si>
  <si>
    <t xml:space="preserve">Chỉ Tiêu KPI (%)</t>
  </si>
  <si>
    <t xml:space="preserve">Đánh Giá Hiệu Suất</t>
  </si>
  <si>
    <t xml:space="preserve">Trạm Thủ Đức (Điểm sáng)</t>
  </si>
  <si>
    <t xml:space="preserve">Trạm Quận 1</t>
  </si>
  <si>
    <t xml:space="preserve">Trạm Quận 7</t>
  </si>
  <si>
    <t xml:space="preserve">Trạm Bình Thạnh</t>
  </si>
  <si>
    <t xml:space="preserve">Trạm Tân Bình</t>
  </si>
  <si>
    <t xml:space="preserve">Trạm Bình Tân (Cần cải thiện)</t>
  </si>
  <si>
    <t xml:space="preserve">Toàn Hệ Thống FastMove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</si>
</sst>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"/>
    <numFmt numFmtId="167" formatCode="#,##0.0"/>
    <numFmt numFmtId="168" formatCode="0.0%"/>
  </numFmts>
  <fonts count="1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1"/>
      <color rgb="FF0F172A"/>
      <name val="Calibri"/>
      <family val="0"/>
      <charset val="1"/>
    </font>
    <font>
      <b val="true"/>
      <sz val="11"/>
      <color rgb="FF0F172A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E3A8A"/>
        <bgColor rgb="FF003366"/>
      </patternFill>
    </fill>
    <fill>
      <patternFill patternType="solid">
        <fgColor rgb="FFF8FAFC"/>
        <bgColor rgb="FFF9F9F9"/>
      </patternFill>
    </fill>
    <fill>
      <patternFill patternType="solid">
        <fgColor rgb="FFE2E8F0"/>
        <bgColor rgb="FFD9D9D9"/>
      </patternFill>
    </fill>
    <fill>
      <patternFill patternType="solid">
        <fgColor rgb="FFDCFCE7"/>
        <bgColor rgb="FFE2E8F0"/>
      </patternFill>
    </fill>
    <fill>
      <patternFill patternType="solid">
        <fgColor rgb="FFFFEDD5"/>
        <bgColor rgb="FFF9F9F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1E3A8A"/>
      </top>
      <bottom style="double">
        <color rgb="FF1E3A8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6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5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993366"/>
      <rgbColor rgb="FFFFEDD5"/>
      <rgbColor rgb="FFDCFCE7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8F0"/>
      <rgbColor rgb="FFF8FAFC"/>
      <rgbColor rgb="FFF9F9F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A580C"/>
      <rgbColor rgb="FF666699"/>
      <rgbColor rgb="FF969696"/>
      <rgbColor rgb="FF003366"/>
      <rgbColor rgb="FF339966"/>
      <rgbColor rgb="FF0F172A"/>
      <rgbColor rgb="FF333300"/>
      <rgbColor rgb="FF993300"/>
      <rgbColor rgb="FF993366"/>
      <rgbColor rgb="FF1E3A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Tỷ Lệ Giao Hàng Đúng Hạn Theo Trạm (Highlight Trạm Thủ Đức 98.0% &amp; Bình Tân 81.6%)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BaoCaoKPI!D1</c:f>
              <c:strCache>
                <c:ptCount val="1"/>
                <c:pt idx="0">
                  <c:v>Tỷ Lệ Đúng Hạn (%)</c:v>
                </c:pt>
              </c:strCache>
            </c:strRef>
          </c:tx>
          <c:spPr>
            <a:solidFill>
              <a:srgbClr val="1e3a8a"/>
            </a:solidFill>
            <a:ln w="9360">
              <a:solidFill>
                <a:srgbClr val="f9f9f9"/>
              </a:solidFill>
              <a:round/>
            </a:ln>
          </c:spPr>
          <c:invertIfNegative val="0"/>
          <c:dPt>
            <c:idx val="0"/>
            <c:invertIfNegative val="0"/>
            <c:spPr>
              <a:solidFill>
                <a:srgbClr val="ea580c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5"/>
            <c:invertIfNegative val="0"/>
            <c:spPr>
              <a:solidFill>
                <a:srgbClr val="dc2626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BaoCaoKPI!$A$2:$A$7</c:f>
              <c:strCache>
                <c:ptCount val="6"/>
                <c:pt idx="0">
                  <c:v>Trạm Thủ Đức (Điểm sáng)</c:v>
                </c:pt>
                <c:pt idx="1">
                  <c:v>Trạm Quận 1</c:v>
                </c:pt>
                <c:pt idx="2">
                  <c:v>Trạm Quận 7</c:v>
                </c:pt>
                <c:pt idx="3">
                  <c:v>Trạm Bình Thạnh</c:v>
                </c:pt>
                <c:pt idx="4">
                  <c:v>Trạm Tân Bình</c:v>
                </c:pt>
                <c:pt idx="5">
                  <c:v>Trạm Bình Tân (Cần cải thiện)</c:v>
                </c:pt>
              </c:strCache>
            </c:strRef>
          </c:cat>
          <c:val>
            <c:numRef>
              <c:f>BaoCaoKPI!$D$2:$D$7</c:f>
              <c:numCache>
                <c:formatCode>General</c:formatCode>
                <c:ptCount val="6"/>
                <c:pt idx="0">
                  <c:v>0.98</c:v>
                </c:pt>
                <c:pt idx="1">
                  <c:v>0.933673469387755</c:v>
                </c:pt>
                <c:pt idx="2">
                  <c:v>0.923913043478261</c:v>
                </c:pt>
                <c:pt idx="3">
                  <c:v>0.910112359550562</c:v>
                </c:pt>
                <c:pt idx="4">
                  <c:v>0.9</c:v>
                </c:pt>
                <c:pt idx="5">
                  <c:v>0.815789473684211</c:v>
                </c:pt>
              </c:numCache>
            </c:numRef>
          </c:val>
        </c:ser>
        <c:gapWidth val="150"/>
        <c:overlap val="0"/>
        <c:axId val="74993021"/>
        <c:axId val="56616474"/>
      </c:barChart>
      <c:catAx>
        <c:axId val="74993021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Trạm Giao Hàng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616474"/>
        <c:crosses val="autoZero"/>
        <c:auto val="1"/>
        <c:lblAlgn val="ctr"/>
        <c:lblOffset val="100"/>
        <c:noMultiLvlLbl val="0"/>
      </c:catAx>
      <c:valAx>
        <c:axId val="5661647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Tỷ lệ đúng hạn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99302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1</xdr:row>
      <xdr:rowOff>0</xdr:rowOff>
    </xdr:from>
    <xdr:to>
      <xdr:col>17</xdr:col>
      <xdr:colOff>364320</xdr:colOff>
      <xdr:row>18</xdr:row>
      <xdr:rowOff>178200</xdr:rowOff>
    </xdr:to>
    <xdr:graphicFrame>
      <xdr:nvGraphicFramePr>
        <xdr:cNvPr id="0" name="Chart 1"/>
        <xdr:cNvGraphicFramePr/>
      </xdr:nvGraphicFramePr>
      <xdr:xfrm>
        <a:off x="9656280" y="304920"/>
        <a:ext cx="647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27"/>
    <col collapsed="false" customWidth="true" hidden="false" outlineLevel="0" max="3" min="3" style="0" width="24"/>
    <col collapsed="false" customWidth="true" hidden="false" outlineLevel="0" max="4" min="4" style="0" width="30"/>
    <col collapsed="false" customWidth="true" hidden="false" outlineLevel="0" max="5" min="5" style="0" width="29"/>
  </cols>
  <sheetData>
    <row r="1" customFormat="false" ht="24" hidden="false" customHeight="tru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</row>
    <row r="2" customFormat="false" ht="19.5" hidden="false" customHeight="true" outlineLevel="0" collapsed="false">
      <c r="A2" s="3" t="s">
        <v>5</v>
      </c>
      <c r="B2" s="3" t="s">
        <v>6</v>
      </c>
      <c r="C2" s="4" t="n">
        <v>22000</v>
      </c>
      <c r="D2" s="4" t="n">
        <v>6</v>
      </c>
      <c r="E2" s="3" t="s">
        <v>7</v>
      </c>
    </row>
    <row r="3" customFormat="false" ht="19.5" hidden="false" customHeight="true" outlineLevel="0" collapsed="false">
      <c r="A3" s="5" t="s">
        <v>8</v>
      </c>
      <c r="B3" s="5" t="s">
        <v>9</v>
      </c>
      <c r="C3" s="6" t="n">
        <v>40000</v>
      </c>
      <c r="D3" s="6" t="n">
        <v>2</v>
      </c>
      <c r="E3" s="5" t="s">
        <v>7</v>
      </c>
    </row>
    <row r="4" customFormat="false" ht="19.5" hidden="false" customHeight="true" outlineLevel="0" collapsed="false">
      <c r="A4" s="3" t="s">
        <v>10</v>
      </c>
      <c r="B4" s="3" t="s">
        <v>11</v>
      </c>
      <c r="C4" s="4" t="n">
        <v>32000</v>
      </c>
      <c r="D4" s="4" t="n">
        <v>12</v>
      </c>
      <c r="E4" s="3" t="s">
        <v>7</v>
      </c>
    </row>
    <row r="5" customFormat="false" ht="19.5" hidden="false" customHeight="true" outlineLevel="0" collapsed="false">
      <c r="A5" s="5" t="s">
        <v>12</v>
      </c>
      <c r="B5" s="5" t="s">
        <v>13</v>
      </c>
      <c r="C5" s="6" t="n">
        <v>55000</v>
      </c>
      <c r="D5" s="6" t="n">
        <v>24</v>
      </c>
      <c r="E5" s="5" t="s">
        <v>7</v>
      </c>
    </row>
    <row r="6" customFormat="false" ht="19.5" hidden="false" customHeight="true" outlineLevel="0" collapsed="false">
      <c r="A6" s="3" t="s">
        <v>14</v>
      </c>
      <c r="B6" s="3" t="s">
        <v>15</v>
      </c>
      <c r="C6" s="4" t="n">
        <v>75000</v>
      </c>
      <c r="D6" s="4" t="n">
        <v>48</v>
      </c>
      <c r="E6" s="3" t="s">
        <v>7</v>
      </c>
    </row>
    <row r="7" customFormat="false" ht="19.5" hidden="false" customHeight="true" outlineLevel="0" collapsed="false">
      <c r="A7" s="5" t="s">
        <v>16</v>
      </c>
      <c r="B7" s="5" t="s">
        <v>17</v>
      </c>
      <c r="C7" s="6" t="n">
        <v>65000</v>
      </c>
      <c r="D7" s="6" t="n">
        <v>36</v>
      </c>
      <c r="E7" s="5" t="s">
        <v>7</v>
      </c>
    </row>
    <row r="8" customFormat="false" ht="19.5" hidden="false" customHeight="true" outlineLevel="0" collapsed="false">
      <c r="A8" s="3" t="s">
        <v>18</v>
      </c>
      <c r="B8" s="3" t="s">
        <v>19</v>
      </c>
      <c r="C8" s="4" t="n">
        <v>90000</v>
      </c>
      <c r="D8" s="4" t="n">
        <v>12</v>
      </c>
      <c r="E8" s="3" t="s">
        <v>7</v>
      </c>
    </row>
    <row r="9" customFormat="false" ht="19.5" hidden="false" customHeight="true" outlineLevel="0" collapsed="false">
      <c r="A9" s="5" t="s">
        <v>20</v>
      </c>
      <c r="B9" s="5" t="s">
        <v>21</v>
      </c>
      <c r="C9" s="6" t="n">
        <v>110000</v>
      </c>
      <c r="D9" s="6" t="n">
        <v>8</v>
      </c>
      <c r="E9" s="5" t="s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5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4" min="3" style="0" width="17"/>
    <col collapsed="false" customWidth="true" hidden="false" outlineLevel="0" max="5" min="5" style="0" width="20"/>
    <col collapsed="false" customWidth="true" hidden="false" outlineLevel="0" max="7" min="6" style="0" width="26"/>
    <col collapsed="false" customWidth="true" hidden="false" outlineLevel="0" max="8" min="8" style="0" width="38"/>
  </cols>
  <sheetData>
    <row r="1" customFormat="false" ht="24" hidden="false" customHeight="true" outlineLevel="0" collapsed="false">
      <c r="A1" s="2" t="s">
        <v>22</v>
      </c>
      <c r="B1" s="1" t="s">
        <v>23</v>
      </c>
      <c r="C1" s="1" t="s">
        <v>0</v>
      </c>
      <c r="D1" s="1" t="s">
        <v>24</v>
      </c>
      <c r="E1" s="2" t="s">
        <v>25</v>
      </c>
      <c r="F1" s="2" t="s">
        <v>26</v>
      </c>
      <c r="G1" s="1" t="s">
        <v>27</v>
      </c>
      <c r="H1" s="1" t="s">
        <v>28</v>
      </c>
    </row>
    <row r="2" customFormat="false" ht="18.75" hidden="false" customHeight="true" outlineLevel="0" collapsed="false">
      <c r="A2" s="4" t="n">
        <v>1</v>
      </c>
      <c r="B2" s="3" t="s">
        <v>29</v>
      </c>
      <c r="C2" s="3" t="s">
        <v>8</v>
      </c>
      <c r="D2" s="3" t="s">
        <v>30</v>
      </c>
      <c r="E2" s="7" t="n">
        <v>11.3</v>
      </c>
      <c r="F2" s="4" t="n">
        <f aca="false">IFERROR(VLOOKUP(C2,BangGiaCuoc!$A$2:$C$9,3,0),0)</f>
        <v>40000</v>
      </c>
      <c r="G2" s="3" t="str">
        <f aca="false">IF(F2=0,"Lỗi mã (Cần kiểm tra)","Hợp lệ")</f>
        <v>Hợp lệ</v>
      </c>
      <c r="H2" s="3" t="s">
        <v>31</v>
      </c>
    </row>
    <row r="3" customFormat="false" ht="18.75" hidden="false" customHeight="true" outlineLevel="0" collapsed="false">
      <c r="A3" s="6" t="n">
        <v>2</v>
      </c>
      <c r="B3" s="5" t="s">
        <v>32</v>
      </c>
      <c r="C3" s="5" t="s">
        <v>12</v>
      </c>
      <c r="D3" s="5" t="s">
        <v>33</v>
      </c>
      <c r="E3" s="8" t="n">
        <v>2.5</v>
      </c>
      <c r="F3" s="6" t="n">
        <f aca="false">IFERROR(VLOOKUP(C3,BangGiaCuoc!$A$2:$C$9,3,0),0)</f>
        <v>55000</v>
      </c>
      <c r="G3" s="5" t="str">
        <f aca="false">IF(F3=0,"Lỗi mã (Cần kiểm tra)","Hợp lệ")</f>
        <v>Hợp lệ</v>
      </c>
      <c r="H3" s="5" t="s">
        <v>31</v>
      </c>
    </row>
    <row r="4" customFormat="false" ht="18.75" hidden="false" customHeight="true" outlineLevel="0" collapsed="false">
      <c r="A4" s="4" t="n">
        <v>3</v>
      </c>
      <c r="B4" s="3" t="s">
        <v>34</v>
      </c>
      <c r="C4" s="3" t="s">
        <v>8</v>
      </c>
      <c r="D4" s="3" t="s">
        <v>35</v>
      </c>
      <c r="E4" s="7" t="n">
        <v>1.8</v>
      </c>
      <c r="F4" s="4" t="n">
        <f aca="false">IFERROR(VLOOKUP(C4,BangGiaCuoc!$A$2:$C$9,3,0),0)</f>
        <v>40000</v>
      </c>
      <c r="G4" s="3" t="str">
        <f aca="false">IF(F4=0,"Lỗi mã (Cần kiểm tra)","Hợp lệ")</f>
        <v>Hợp lệ</v>
      </c>
      <c r="H4" s="3" t="s">
        <v>31</v>
      </c>
    </row>
    <row r="5" customFormat="false" ht="18.75" hidden="false" customHeight="true" outlineLevel="0" collapsed="false">
      <c r="A5" s="6" t="n">
        <v>4</v>
      </c>
      <c r="B5" s="5" t="s">
        <v>36</v>
      </c>
      <c r="C5" s="5" t="s">
        <v>18</v>
      </c>
      <c r="D5" s="5" t="s">
        <v>30</v>
      </c>
      <c r="E5" s="8" t="n">
        <v>0.9</v>
      </c>
      <c r="F5" s="6" t="n">
        <f aca="false">IFERROR(VLOOKUP(C5,BangGiaCuoc!$A$2:$C$9,3,0),0)</f>
        <v>90000</v>
      </c>
      <c r="G5" s="5" t="str">
        <f aca="false">IF(F5=0,"Lỗi mã (Cần kiểm tra)","Hợp lệ")</f>
        <v>Hợp lệ</v>
      </c>
      <c r="H5" s="5" t="s">
        <v>31</v>
      </c>
    </row>
    <row r="6" customFormat="false" ht="18.75" hidden="false" customHeight="true" outlineLevel="0" collapsed="false">
      <c r="A6" s="4" t="n">
        <v>5</v>
      </c>
      <c r="B6" s="3" t="s">
        <v>37</v>
      </c>
      <c r="C6" s="3" t="s">
        <v>38</v>
      </c>
      <c r="D6" s="3" t="s">
        <v>33</v>
      </c>
      <c r="E6" s="7" t="n">
        <v>3.9</v>
      </c>
      <c r="F6" s="4" t="n">
        <f aca="false">IFERROR(VLOOKUP(C6,BangGiaCuoc!$A$2:$C$9,3,0),0)</f>
        <v>0</v>
      </c>
      <c r="G6" s="3" t="str">
        <f aca="false">IF(F6=0,"Lỗi mã (Cần kiểm tra)","Hợp lệ")</f>
        <v>Lỗi mã (Cần kiểm tra)</v>
      </c>
      <c r="H6" s="3" t="s">
        <v>39</v>
      </c>
    </row>
    <row r="7" customFormat="false" ht="18.75" hidden="false" customHeight="true" outlineLevel="0" collapsed="false">
      <c r="A7" s="6" t="n">
        <v>6</v>
      </c>
      <c r="B7" s="5" t="s">
        <v>40</v>
      </c>
      <c r="C7" s="5" t="s">
        <v>5</v>
      </c>
      <c r="D7" s="5" t="s">
        <v>35</v>
      </c>
      <c r="E7" s="8" t="n">
        <v>3.4</v>
      </c>
      <c r="F7" s="6" t="n">
        <f aca="false">IFERROR(VLOOKUP(C7,BangGiaCuoc!$A$2:$C$9,3,0),0)</f>
        <v>22000</v>
      </c>
      <c r="G7" s="5" t="str">
        <f aca="false">IF(F7=0,"Lỗi mã (Cần kiểm tra)","Hợp lệ")</f>
        <v>Hợp lệ</v>
      </c>
      <c r="H7" s="5" t="s">
        <v>31</v>
      </c>
    </row>
    <row r="8" customFormat="false" ht="18.75" hidden="false" customHeight="true" outlineLevel="0" collapsed="false">
      <c r="A8" s="4" t="n">
        <v>7</v>
      </c>
      <c r="B8" s="3" t="s">
        <v>41</v>
      </c>
      <c r="C8" s="3" t="s">
        <v>18</v>
      </c>
      <c r="D8" s="3" t="s">
        <v>33</v>
      </c>
      <c r="E8" s="7" t="n">
        <v>7</v>
      </c>
      <c r="F8" s="4" t="n">
        <f aca="false">IFERROR(VLOOKUP(C8,BangGiaCuoc!$A$2:$C$9,3,0),0)</f>
        <v>90000</v>
      </c>
      <c r="G8" s="3" t="str">
        <f aca="false">IF(F8=0,"Lỗi mã (Cần kiểm tra)","Hợp lệ")</f>
        <v>Hợp lệ</v>
      </c>
      <c r="H8" s="3" t="s">
        <v>31</v>
      </c>
    </row>
    <row r="9" customFormat="false" ht="18.75" hidden="false" customHeight="true" outlineLevel="0" collapsed="false">
      <c r="A9" s="6" t="n">
        <v>8</v>
      </c>
      <c r="B9" s="5" t="s">
        <v>42</v>
      </c>
      <c r="C9" s="5" t="s">
        <v>14</v>
      </c>
      <c r="D9" s="5" t="s">
        <v>30</v>
      </c>
      <c r="E9" s="8" t="n">
        <v>11.5</v>
      </c>
      <c r="F9" s="6" t="n">
        <f aca="false">IFERROR(VLOOKUP(C9,BangGiaCuoc!$A$2:$C$9,3,0),0)</f>
        <v>75000</v>
      </c>
      <c r="G9" s="5" t="str">
        <f aca="false">IF(F9=0,"Lỗi mã (Cần kiểm tra)","Hợp lệ")</f>
        <v>Hợp lệ</v>
      </c>
      <c r="H9" s="5" t="s">
        <v>31</v>
      </c>
    </row>
    <row r="10" customFormat="false" ht="18.75" hidden="false" customHeight="true" outlineLevel="0" collapsed="false">
      <c r="A10" s="4" t="n">
        <v>9</v>
      </c>
      <c r="B10" s="3" t="s">
        <v>43</v>
      </c>
      <c r="C10" s="3" t="s">
        <v>10</v>
      </c>
      <c r="D10" s="3" t="s">
        <v>44</v>
      </c>
      <c r="E10" s="7" t="n">
        <v>5.4</v>
      </c>
      <c r="F10" s="4" t="n">
        <f aca="false">IFERROR(VLOOKUP(C10,BangGiaCuoc!$A$2:$C$9,3,0),0)</f>
        <v>32000</v>
      </c>
      <c r="G10" s="3" t="str">
        <f aca="false">IF(F10=0,"Lỗi mã (Cần kiểm tra)","Hợp lệ")</f>
        <v>Hợp lệ</v>
      </c>
      <c r="H10" s="3" t="s">
        <v>31</v>
      </c>
    </row>
    <row r="11" customFormat="false" ht="18.75" hidden="false" customHeight="true" outlineLevel="0" collapsed="false">
      <c r="A11" s="6" t="n">
        <v>10</v>
      </c>
      <c r="B11" s="5" t="s">
        <v>45</v>
      </c>
      <c r="C11" s="5" t="s">
        <v>10</v>
      </c>
      <c r="D11" s="5" t="s">
        <v>33</v>
      </c>
      <c r="E11" s="8" t="n">
        <v>14.4</v>
      </c>
      <c r="F11" s="6" t="n">
        <f aca="false">IFERROR(VLOOKUP(C11,BangGiaCuoc!$A$2:$C$9,3,0),0)</f>
        <v>32000</v>
      </c>
      <c r="G11" s="5" t="str">
        <f aca="false">IF(F11=0,"Lỗi mã (Cần kiểm tra)","Hợp lệ")</f>
        <v>Hợp lệ</v>
      </c>
      <c r="H11" s="5" t="s">
        <v>31</v>
      </c>
    </row>
    <row r="12" customFormat="false" ht="18.75" hidden="false" customHeight="true" outlineLevel="0" collapsed="false">
      <c r="A12" s="4" t="n">
        <v>11</v>
      </c>
      <c r="B12" s="3" t="s">
        <v>46</v>
      </c>
      <c r="C12" s="3" t="s">
        <v>16</v>
      </c>
      <c r="D12" s="3" t="s">
        <v>47</v>
      </c>
      <c r="E12" s="7" t="n">
        <v>1.8</v>
      </c>
      <c r="F12" s="4" t="n">
        <f aca="false">IFERROR(VLOOKUP(C12,BangGiaCuoc!$A$2:$C$9,3,0),0)</f>
        <v>65000</v>
      </c>
      <c r="G12" s="3" t="str">
        <f aca="false">IF(F12=0,"Lỗi mã (Cần kiểm tra)","Hợp lệ")</f>
        <v>Hợp lệ</v>
      </c>
      <c r="H12" s="3" t="s">
        <v>31</v>
      </c>
    </row>
    <row r="13" customFormat="false" ht="18.75" hidden="false" customHeight="true" outlineLevel="0" collapsed="false">
      <c r="A13" s="6" t="n">
        <v>12</v>
      </c>
      <c r="B13" s="5" t="s">
        <v>48</v>
      </c>
      <c r="C13" s="5" t="s">
        <v>8</v>
      </c>
      <c r="D13" s="5" t="s">
        <v>49</v>
      </c>
      <c r="E13" s="8" t="n">
        <v>12.8</v>
      </c>
      <c r="F13" s="6" t="n">
        <f aca="false">IFERROR(VLOOKUP(C13,BangGiaCuoc!$A$2:$C$9,3,0),0)</f>
        <v>40000</v>
      </c>
      <c r="G13" s="5" t="str">
        <f aca="false">IF(F13=0,"Lỗi mã (Cần kiểm tra)","Hợp lệ")</f>
        <v>Hợp lệ</v>
      </c>
      <c r="H13" s="5" t="s">
        <v>31</v>
      </c>
    </row>
    <row r="14" customFormat="false" ht="18.75" hidden="false" customHeight="true" outlineLevel="0" collapsed="false">
      <c r="A14" s="4" t="n">
        <v>13</v>
      </c>
      <c r="B14" s="3" t="s">
        <v>50</v>
      </c>
      <c r="C14" s="3" t="s">
        <v>14</v>
      </c>
      <c r="D14" s="3" t="s">
        <v>30</v>
      </c>
      <c r="E14" s="7" t="n">
        <v>11.1</v>
      </c>
      <c r="F14" s="4" t="n">
        <f aca="false">IFERROR(VLOOKUP(C14,BangGiaCuoc!$A$2:$C$9,3,0),0)</f>
        <v>75000</v>
      </c>
      <c r="G14" s="3" t="str">
        <f aca="false">IF(F14=0,"Lỗi mã (Cần kiểm tra)","Hợp lệ")</f>
        <v>Hợp lệ</v>
      </c>
      <c r="H14" s="3" t="s">
        <v>31</v>
      </c>
    </row>
    <row r="15" customFormat="false" ht="18.75" hidden="false" customHeight="true" outlineLevel="0" collapsed="false">
      <c r="A15" s="6" t="n">
        <v>14</v>
      </c>
      <c r="B15" s="5" t="s">
        <v>51</v>
      </c>
      <c r="C15" s="5" t="s">
        <v>8</v>
      </c>
      <c r="D15" s="5" t="s">
        <v>44</v>
      </c>
      <c r="E15" s="8" t="n">
        <v>1.6</v>
      </c>
      <c r="F15" s="6" t="n">
        <f aca="false">IFERROR(VLOOKUP(C15,BangGiaCuoc!$A$2:$C$9,3,0),0)</f>
        <v>40000</v>
      </c>
      <c r="G15" s="5" t="str">
        <f aca="false">IF(F15=0,"Lỗi mã (Cần kiểm tra)","Hợp lệ")</f>
        <v>Hợp lệ</v>
      </c>
      <c r="H15" s="5" t="s">
        <v>31</v>
      </c>
    </row>
    <row r="16" customFormat="false" ht="18.75" hidden="false" customHeight="true" outlineLevel="0" collapsed="false">
      <c r="A16" s="4" t="n">
        <v>15</v>
      </c>
      <c r="B16" s="3" t="s">
        <v>52</v>
      </c>
      <c r="C16" s="3" t="s">
        <v>14</v>
      </c>
      <c r="D16" s="3" t="s">
        <v>53</v>
      </c>
      <c r="E16" s="7" t="n">
        <v>13.3</v>
      </c>
      <c r="F16" s="4" t="n">
        <f aca="false">IFERROR(VLOOKUP(C16,BangGiaCuoc!$A$2:$C$9,3,0),0)</f>
        <v>75000</v>
      </c>
      <c r="G16" s="3" t="str">
        <f aca="false">IF(F16=0,"Lỗi mã (Cần kiểm tra)","Hợp lệ")</f>
        <v>Hợp lệ</v>
      </c>
      <c r="H16" s="3" t="s">
        <v>31</v>
      </c>
    </row>
    <row r="17" customFormat="false" ht="18.75" hidden="false" customHeight="true" outlineLevel="0" collapsed="false">
      <c r="A17" s="6" t="n">
        <v>16</v>
      </c>
      <c r="B17" s="5" t="s">
        <v>54</v>
      </c>
      <c r="C17" s="5" t="s">
        <v>16</v>
      </c>
      <c r="D17" s="5" t="s">
        <v>53</v>
      </c>
      <c r="E17" s="8" t="n">
        <v>3.3</v>
      </c>
      <c r="F17" s="6" t="n">
        <f aca="false">IFERROR(VLOOKUP(C17,BangGiaCuoc!$A$2:$C$9,3,0),0)</f>
        <v>65000</v>
      </c>
      <c r="G17" s="5" t="str">
        <f aca="false">IF(F17=0,"Lỗi mã (Cần kiểm tra)","Hợp lệ")</f>
        <v>Hợp lệ</v>
      </c>
      <c r="H17" s="5" t="s">
        <v>31</v>
      </c>
    </row>
    <row r="18" customFormat="false" ht="18.75" hidden="false" customHeight="true" outlineLevel="0" collapsed="false">
      <c r="A18" s="4" t="n">
        <v>17</v>
      </c>
      <c r="B18" s="3" t="s">
        <v>55</v>
      </c>
      <c r="C18" s="3" t="s">
        <v>8</v>
      </c>
      <c r="D18" s="3" t="s">
        <v>30</v>
      </c>
      <c r="E18" s="7" t="n">
        <v>10.1</v>
      </c>
      <c r="F18" s="4" t="n">
        <f aca="false">IFERROR(VLOOKUP(C18,BangGiaCuoc!$A$2:$C$9,3,0),0)</f>
        <v>40000</v>
      </c>
      <c r="G18" s="3" t="str">
        <f aca="false">IF(F18=0,"Lỗi mã (Cần kiểm tra)","Hợp lệ")</f>
        <v>Hợp lệ</v>
      </c>
      <c r="H18" s="3" t="s">
        <v>31</v>
      </c>
    </row>
    <row r="19" customFormat="false" ht="18.75" hidden="false" customHeight="true" outlineLevel="0" collapsed="false">
      <c r="A19" s="6" t="n">
        <v>18</v>
      </c>
      <c r="B19" s="5" t="s">
        <v>56</v>
      </c>
      <c r="C19" s="5" t="s">
        <v>57</v>
      </c>
      <c r="D19" s="5" t="s">
        <v>58</v>
      </c>
      <c r="E19" s="8" t="n">
        <v>14.8</v>
      </c>
      <c r="F19" s="6" t="n">
        <f aca="false">IFERROR(VLOOKUP(C19,BangGiaCuoc!$A$2:$C$9,3,0),0)</f>
        <v>40000</v>
      </c>
      <c r="G19" s="5" t="str">
        <f aca="false">IF(F19=0,"Lỗi mã (Cần kiểm tra)","Hợp lệ")</f>
        <v>Hợp lệ</v>
      </c>
      <c r="H19" s="5" t="s">
        <v>59</v>
      </c>
    </row>
    <row r="20" customFormat="false" ht="18.75" hidden="false" customHeight="true" outlineLevel="0" collapsed="false">
      <c r="A20" s="4" t="n">
        <v>19</v>
      </c>
      <c r="B20" s="3" t="s">
        <v>60</v>
      </c>
      <c r="C20" s="3" t="s">
        <v>12</v>
      </c>
      <c r="D20" s="3" t="s">
        <v>47</v>
      </c>
      <c r="E20" s="7" t="n">
        <v>6</v>
      </c>
      <c r="F20" s="4" t="n">
        <f aca="false">IFERROR(VLOOKUP(C20,BangGiaCuoc!$A$2:$C$9,3,0),0)</f>
        <v>55000</v>
      </c>
      <c r="G20" s="3" t="str">
        <f aca="false">IF(F20=0,"Lỗi mã (Cần kiểm tra)","Hợp lệ")</f>
        <v>Hợp lệ</v>
      </c>
      <c r="H20" s="3" t="s">
        <v>31</v>
      </c>
    </row>
    <row r="21" customFormat="false" ht="18.75" hidden="false" customHeight="true" outlineLevel="0" collapsed="false">
      <c r="A21" s="6" t="n">
        <v>20</v>
      </c>
      <c r="B21" s="5" t="s">
        <v>61</v>
      </c>
      <c r="C21" s="5" t="s">
        <v>20</v>
      </c>
      <c r="D21" s="5" t="s">
        <v>49</v>
      </c>
      <c r="E21" s="8" t="n">
        <v>2.9</v>
      </c>
      <c r="F21" s="6" t="n">
        <f aca="false">IFERROR(VLOOKUP(C21,BangGiaCuoc!$A$2:$C$9,3,0),0)</f>
        <v>110000</v>
      </c>
      <c r="G21" s="5" t="str">
        <f aca="false">IF(F21=0,"Lỗi mã (Cần kiểm tra)","Hợp lệ")</f>
        <v>Hợp lệ</v>
      </c>
      <c r="H21" s="5" t="s">
        <v>31</v>
      </c>
    </row>
    <row r="22" customFormat="false" ht="18.75" hidden="false" customHeight="true" outlineLevel="0" collapsed="false">
      <c r="A22" s="4" t="n">
        <v>21</v>
      </c>
      <c r="B22" s="3" t="s">
        <v>62</v>
      </c>
      <c r="C22" s="3" t="s">
        <v>16</v>
      </c>
      <c r="D22" s="3" t="s">
        <v>33</v>
      </c>
      <c r="E22" s="7" t="n">
        <v>10.2</v>
      </c>
      <c r="F22" s="4" t="n">
        <f aca="false">IFERROR(VLOOKUP(C22,BangGiaCuoc!$A$2:$C$9,3,0),0)</f>
        <v>65000</v>
      </c>
      <c r="G22" s="3" t="str">
        <f aca="false">IF(F22=0,"Lỗi mã (Cần kiểm tra)","Hợp lệ")</f>
        <v>Hợp lệ</v>
      </c>
      <c r="H22" s="3" t="s">
        <v>31</v>
      </c>
    </row>
    <row r="23" customFormat="false" ht="18.75" hidden="false" customHeight="true" outlineLevel="0" collapsed="false">
      <c r="A23" s="6" t="n">
        <v>22</v>
      </c>
      <c r="B23" s="5" t="s">
        <v>63</v>
      </c>
      <c r="C23" s="5" t="s">
        <v>8</v>
      </c>
      <c r="D23" s="5" t="s">
        <v>53</v>
      </c>
      <c r="E23" s="8" t="n">
        <v>9.7</v>
      </c>
      <c r="F23" s="6" t="n">
        <f aca="false">IFERROR(VLOOKUP(C23,BangGiaCuoc!$A$2:$C$9,3,0),0)</f>
        <v>40000</v>
      </c>
      <c r="G23" s="5" t="str">
        <f aca="false">IF(F23=0,"Lỗi mã (Cần kiểm tra)","Hợp lệ")</f>
        <v>Hợp lệ</v>
      </c>
      <c r="H23" s="5" t="s">
        <v>31</v>
      </c>
    </row>
    <row r="24" customFormat="false" ht="18.75" hidden="false" customHeight="true" outlineLevel="0" collapsed="false">
      <c r="A24" s="4" t="n">
        <v>23</v>
      </c>
      <c r="B24" s="3" t="s">
        <v>64</v>
      </c>
      <c r="C24" s="3" t="s">
        <v>12</v>
      </c>
      <c r="D24" s="3" t="s">
        <v>65</v>
      </c>
      <c r="E24" s="7" t="n">
        <v>7.2</v>
      </c>
      <c r="F24" s="4" t="n">
        <f aca="false">IFERROR(VLOOKUP(C24,BangGiaCuoc!$A$2:$C$9,3,0),0)</f>
        <v>55000</v>
      </c>
      <c r="G24" s="3" t="str">
        <f aca="false">IF(F24=0,"Lỗi mã (Cần kiểm tra)","Hợp lệ")</f>
        <v>Hợp lệ</v>
      </c>
      <c r="H24" s="3" t="s">
        <v>31</v>
      </c>
    </row>
    <row r="25" customFormat="false" ht="18.75" hidden="false" customHeight="true" outlineLevel="0" collapsed="false">
      <c r="A25" s="6" t="n">
        <v>24</v>
      </c>
      <c r="B25" s="5" t="s">
        <v>66</v>
      </c>
      <c r="C25" s="5" t="s">
        <v>14</v>
      </c>
      <c r="D25" s="5" t="s">
        <v>35</v>
      </c>
      <c r="E25" s="8" t="n">
        <v>3.7</v>
      </c>
      <c r="F25" s="6" t="n">
        <f aca="false">IFERROR(VLOOKUP(C25,BangGiaCuoc!$A$2:$C$9,3,0),0)</f>
        <v>75000</v>
      </c>
      <c r="G25" s="5" t="str">
        <f aca="false">IF(F25=0,"Lỗi mã (Cần kiểm tra)","Hợp lệ")</f>
        <v>Hợp lệ</v>
      </c>
      <c r="H25" s="5" t="s">
        <v>31</v>
      </c>
    </row>
    <row r="26" customFormat="false" ht="18.75" hidden="false" customHeight="true" outlineLevel="0" collapsed="false">
      <c r="A26" s="4" t="n">
        <v>25</v>
      </c>
      <c r="B26" s="3" t="s">
        <v>67</v>
      </c>
      <c r="C26" s="3" t="s">
        <v>16</v>
      </c>
      <c r="D26" s="3" t="s">
        <v>30</v>
      </c>
      <c r="E26" s="7" t="n">
        <v>3.8</v>
      </c>
      <c r="F26" s="4" t="n">
        <f aca="false">IFERROR(VLOOKUP(C26,BangGiaCuoc!$A$2:$C$9,3,0),0)</f>
        <v>65000</v>
      </c>
      <c r="G26" s="3" t="str">
        <f aca="false">IF(F26=0,"Lỗi mã (Cần kiểm tra)","Hợp lệ")</f>
        <v>Hợp lệ</v>
      </c>
      <c r="H26" s="3" t="s">
        <v>31</v>
      </c>
    </row>
    <row r="27" customFormat="false" ht="18.75" hidden="false" customHeight="true" outlineLevel="0" collapsed="false">
      <c r="A27" s="6" t="n">
        <v>26</v>
      </c>
      <c r="B27" s="5" t="s">
        <v>68</v>
      </c>
      <c r="C27" s="5" t="s">
        <v>5</v>
      </c>
      <c r="D27" s="5" t="s">
        <v>49</v>
      </c>
      <c r="E27" s="8" t="n">
        <v>6.3</v>
      </c>
      <c r="F27" s="6" t="n">
        <f aca="false">IFERROR(VLOOKUP(C27,BangGiaCuoc!$A$2:$C$9,3,0),0)</f>
        <v>22000</v>
      </c>
      <c r="G27" s="5" t="str">
        <f aca="false">IF(F27=0,"Lỗi mã (Cần kiểm tra)","Hợp lệ")</f>
        <v>Hợp lệ</v>
      </c>
      <c r="H27" s="5" t="s">
        <v>31</v>
      </c>
    </row>
    <row r="28" customFormat="false" ht="18.75" hidden="false" customHeight="true" outlineLevel="0" collapsed="false">
      <c r="A28" s="4" t="n">
        <v>27</v>
      </c>
      <c r="B28" s="3" t="s">
        <v>69</v>
      </c>
      <c r="C28" s="3" t="s">
        <v>8</v>
      </c>
      <c r="D28" s="3" t="s">
        <v>33</v>
      </c>
      <c r="E28" s="7" t="n">
        <v>13.7</v>
      </c>
      <c r="F28" s="4" t="n">
        <f aca="false">IFERROR(VLOOKUP(C28,BangGiaCuoc!$A$2:$C$9,3,0),0)</f>
        <v>40000</v>
      </c>
      <c r="G28" s="3" t="str">
        <f aca="false">IF(F28=0,"Lỗi mã (Cần kiểm tra)","Hợp lệ")</f>
        <v>Hợp lệ</v>
      </c>
      <c r="H28" s="3" t="s">
        <v>31</v>
      </c>
    </row>
    <row r="29" customFormat="false" ht="18.75" hidden="false" customHeight="true" outlineLevel="0" collapsed="false">
      <c r="A29" s="6" t="n">
        <v>28</v>
      </c>
      <c r="B29" s="5" t="s">
        <v>70</v>
      </c>
      <c r="C29" s="5" t="s">
        <v>16</v>
      </c>
      <c r="D29" s="5" t="s">
        <v>33</v>
      </c>
      <c r="E29" s="8" t="n">
        <v>10</v>
      </c>
      <c r="F29" s="6" t="n">
        <f aca="false">IFERROR(VLOOKUP(C29,BangGiaCuoc!$A$2:$C$9,3,0),0)</f>
        <v>65000</v>
      </c>
      <c r="G29" s="5" t="str">
        <f aca="false">IF(F29=0,"Lỗi mã (Cần kiểm tra)","Hợp lệ")</f>
        <v>Hợp lệ</v>
      </c>
      <c r="H29" s="5" t="s">
        <v>31</v>
      </c>
    </row>
    <row r="30" customFormat="false" ht="18.75" hidden="false" customHeight="true" outlineLevel="0" collapsed="false">
      <c r="A30" s="4" t="n">
        <v>29</v>
      </c>
      <c r="B30" s="3" t="s">
        <v>71</v>
      </c>
      <c r="C30" s="3" t="s">
        <v>18</v>
      </c>
      <c r="D30" s="3" t="s">
        <v>72</v>
      </c>
      <c r="E30" s="7" t="n">
        <v>2.6</v>
      </c>
      <c r="F30" s="4" t="n">
        <f aca="false">IFERROR(VLOOKUP(C30,BangGiaCuoc!$A$2:$C$9,3,0),0)</f>
        <v>90000</v>
      </c>
      <c r="G30" s="3" t="str">
        <f aca="false">IF(F30=0,"Lỗi mã (Cần kiểm tra)","Hợp lệ")</f>
        <v>Hợp lệ</v>
      </c>
      <c r="H30" s="3" t="s">
        <v>31</v>
      </c>
    </row>
    <row r="31" customFormat="false" ht="18.75" hidden="false" customHeight="true" outlineLevel="0" collapsed="false">
      <c r="A31" s="6" t="n">
        <v>30</v>
      </c>
      <c r="B31" s="5" t="s">
        <v>73</v>
      </c>
      <c r="C31" s="5" t="s">
        <v>10</v>
      </c>
      <c r="D31" s="5" t="s">
        <v>33</v>
      </c>
      <c r="E31" s="8" t="n">
        <v>11.3</v>
      </c>
      <c r="F31" s="6" t="n">
        <f aca="false">IFERROR(VLOOKUP(C31,BangGiaCuoc!$A$2:$C$9,3,0),0)</f>
        <v>32000</v>
      </c>
      <c r="G31" s="5" t="str">
        <f aca="false">IF(F31=0,"Lỗi mã (Cần kiểm tra)","Hợp lệ")</f>
        <v>Hợp lệ</v>
      </c>
      <c r="H31" s="5" t="s">
        <v>31</v>
      </c>
    </row>
    <row r="32" customFormat="false" ht="18.75" hidden="false" customHeight="true" outlineLevel="0" collapsed="false">
      <c r="A32" s="4" t="n">
        <v>31</v>
      </c>
      <c r="B32" s="3" t="s">
        <v>74</v>
      </c>
      <c r="C32" s="3" t="s">
        <v>14</v>
      </c>
      <c r="D32" s="3" t="s">
        <v>53</v>
      </c>
      <c r="E32" s="7" t="n">
        <v>6.7</v>
      </c>
      <c r="F32" s="4" t="n">
        <f aca="false">IFERROR(VLOOKUP(C32,BangGiaCuoc!$A$2:$C$9,3,0),0)</f>
        <v>75000</v>
      </c>
      <c r="G32" s="3" t="str">
        <f aca="false">IF(F32=0,"Lỗi mã (Cần kiểm tra)","Hợp lệ")</f>
        <v>Hợp lệ</v>
      </c>
      <c r="H32" s="3" t="s">
        <v>31</v>
      </c>
    </row>
    <row r="33" customFormat="false" ht="18.75" hidden="false" customHeight="true" outlineLevel="0" collapsed="false">
      <c r="A33" s="6" t="n">
        <v>32</v>
      </c>
      <c r="B33" s="5" t="s">
        <v>75</v>
      </c>
      <c r="C33" s="5" t="s">
        <v>18</v>
      </c>
      <c r="D33" s="5" t="s">
        <v>49</v>
      </c>
      <c r="E33" s="8" t="n">
        <v>3.7</v>
      </c>
      <c r="F33" s="6" t="n">
        <f aca="false">IFERROR(VLOOKUP(C33,BangGiaCuoc!$A$2:$C$9,3,0),0)</f>
        <v>90000</v>
      </c>
      <c r="G33" s="5" t="str">
        <f aca="false">IF(F33=0,"Lỗi mã (Cần kiểm tra)","Hợp lệ")</f>
        <v>Hợp lệ</v>
      </c>
      <c r="H33" s="5" t="s">
        <v>31</v>
      </c>
    </row>
    <row r="34" customFormat="false" ht="18.75" hidden="false" customHeight="true" outlineLevel="0" collapsed="false">
      <c r="A34" s="4" t="n">
        <v>33</v>
      </c>
      <c r="B34" s="3" t="s">
        <v>76</v>
      </c>
      <c r="C34" s="3" t="s">
        <v>10</v>
      </c>
      <c r="D34" s="3" t="s">
        <v>35</v>
      </c>
      <c r="E34" s="7" t="n">
        <v>7.7</v>
      </c>
      <c r="F34" s="4" t="n">
        <f aca="false">IFERROR(VLOOKUP(C34,BangGiaCuoc!$A$2:$C$9,3,0),0)</f>
        <v>32000</v>
      </c>
      <c r="G34" s="3" t="str">
        <f aca="false">IF(F34=0,"Lỗi mã (Cần kiểm tra)","Hợp lệ")</f>
        <v>Hợp lệ</v>
      </c>
      <c r="H34" s="3" t="s">
        <v>31</v>
      </c>
    </row>
    <row r="35" customFormat="false" ht="18.75" hidden="false" customHeight="true" outlineLevel="0" collapsed="false">
      <c r="A35" s="6" t="n">
        <v>34</v>
      </c>
      <c r="B35" s="5" t="s">
        <v>77</v>
      </c>
      <c r="C35" s="5" t="s">
        <v>5</v>
      </c>
      <c r="D35" s="5" t="s">
        <v>47</v>
      </c>
      <c r="E35" s="8" t="n">
        <v>2.7</v>
      </c>
      <c r="F35" s="6" t="n">
        <f aca="false">IFERROR(VLOOKUP(C35,BangGiaCuoc!$A$2:$C$9,3,0),0)</f>
        <v>22000</v>
      </c>
      <c r="G35" s="5" t="str">
        <f aca="false">IF(F35=0,"Lỗi mã (Cần kiểm tra)","Hợp lệ")</f>
        <v>Hợp lệ</v>
      </c>
      <c r="H35" s="5" t="s">
        <v>31</v>
      </c>
    </row>
    <row r="36" customFormat="false" ht="18.75" hidden="false" customHeight="true" outlineLevel="0" collapsed="false">
      <c r="A36" s="4" t="n">
        <v>35</v>
      </c>
      <c r="B36" s="3" t="s">
        <v>78</v>
      </c>
      <c r="C36" s="3" t="s">
        <v>10</v>
      </c>
      <c r="D36" s="3" t="s">
        <v>44</v>
      </c>
      <c r="E36" s="7" t="n">
        <v>9.1</v>
      </c>
      <c r="F36" s="4" t="n">
        <f aca="false">IFERROR(VLOOKUP(C36,BangGiaCuoc!$A$2:$C$9,3,0),0)</f>
        <v>32000</v>
      </c>
      <c r="G36" s="3" t="str">
        <f aca="false">IF(F36=0,"Lỗi mã (Cần kiểm tra)","Hợp lệ")</f>
        <v>Hợp lệ</v>
      </c>
      <c r="H36" s="3" t="s">
        <v>31</v>
      </c>
    </row>
    <row r="37" customFormat="false" ht="18.75" hidden="false" customHeight="true" outlineLevel="0" collapsed="false">
      <c r="A37" s="6" t="n">
        <v>36</v>
      </c>
      <c r="B37" s="5" t="s">
        <v>79</v>
      </c>
      <c r="C37" s="5" t="s">
        <v>18</v>
      </c>
      <c r="D37" s="5" t="s">
        <v>44</v>
      </c>
      <c r="E37" s="8" t="n">
        <v>9.1</v>
      </c>
      <c r="F37" s="6" t="n">
        <f aca="false">IFERROR(VLOOKUP(C37,BangGiaCuoc!$A$2:$C$9,3,0),0)</f>
        <v>90000</v>
      </c>
      <c r="G37" s="5" t="str">
        <f aca="false">IF(F37=0,"Lỗi mã (Cần kiểm tra)","Hợp lệ")</f>
        <v>Hợp lệ</v>
      </c>
      <c r="H37" s="5" t="s">
        <v>31</v>
      </c>
    </row>
    <row r="38" customFormat="false" ht="18.75" hidden="false" customHeight="true" outlineLevel="0" collapsed="false">
      <c r="A38" s="4" t="n">
        <v>37</v>
      </c>
      <c r="B38" s="3" t="s">
        <v>80</v>
      </c>
      <c r="C38" s="3" t="s">
        <v>20</v>
      </c>
      <c r="D38" s="3" t="s">
        <v>35</v>
      </c>
      <c r="E38" s="7" t="n">
        <v>4.1</v>
      </c>
      <c r="F38" s="4" t="n">
        <f aca="false">IFERROR(VLOOKUP(C38,BangGiaCuoc!$A$2:$C$9,3,0),0)</f>
        <v>110000</v>
      </c>
      <c r="G38" s="3" t="str">
        <f aca="false">IF(F38=0,"Lỗi mã (Cần kiểm tra)","Hợp lệ")</f>
        <v>Hợp lệ</v>
      </c>
      <c r="H38" s="3" t="s">
        <v>31</v>
      </c>
    </row>
    <row r="39" customFormat="false" ht="18.75" hidden="false" customHeight="true" outlineLevel="0" collapsed="false">
      <c r="A39" s="6" t="n">
        <v>38</v>
      </c>
      <c r="B39" s="5" t="s">
        <v>81</v>
      </c>
      <c r="C39" s="5" t="s">
        <v>5</v>
      </c>
      <c r="D39" s="5" t="s">
        <v>47</v>
      </c>
      <c r="E39" s="8" t="n">
        <v>10.4</v>
      </c>
      <c r="F39" s="6" t="n">
        <f aca="false">IFERROR(VLOOKUP(C39,BangGiaCuoc!$A$2:$C$9,3,0),0)</f>
        <v>22000</v>
      </c>
      <c r="G39" s="5" t="str">
        <f aca="false">IF(F39=0,"Lỗi mã (Cần kiểm tra)","Hợp lệ")</f>
        <v>Hợp lệ</v>
      </c>
      <c r="H39" s="5" t="s">
        <v>31</v>
      </c>
    </row>
    <row r="40" customFormat="false" ht="18.75" hidden="false" customHeight="true" outlineLevel="0" collapsed="false">
      <c r="A40" s="4" t="n">
        <v>39</v>
      </c>
      <c r="B40" s="3" t="s">
        <v>82</v>
      </c>
      <c r="C40" s="3" t="s">
        <v>14</v>
      </c>
      <c r="D40" s="3" t="s">
        <v>49</v>
      </c>
      <c r="E40" s="7" t="n">
        <v>2.1</v>
      </c>
      <c r="F40" s="4" t="n">
        <f aca="false">IFERROR(VLOOKUP(C40,BangGiaCuoc!$A$2:$C$9,3,0),0)</f>
        <v>75000</v>
      </c>
      <c r="G40" s="3" t="str">
        <f aca="false">IF(F40=0,"Lỗi mã (Cần kiểm tra)","Hợp lệ")</f>
        <v>Hợp lệ</v>
      </c>
      <c r="H40" s="3" t="s">
        <v>31</v>
      </c>
    </row>
    <row r="41" customFormat="false" ht="18.75" hidden="false" customHeight="true" outlineLevel="0" collapsed="false">
      <c r="A41" s="6" t="n">
        <v>40</v>
      </c>
      <c r="B41" s="5" t="s">
        <v>83</v>
      </c>
      <c r="C41" s="5" t="s">
        <v>18</v>
      </c>
      <c r="D41" s="5" t="s">
        <v>65</v>
      </c>
      <c r="E41" s="8" t="n">
        <v>7.1</v>
      </c>
      <c r="F41" s="6" t="n">
        <f aca="false">IFERROR(VLOOKUP(C41,BangGiaCuoc!$A$2:$C$9,3,0),0)</f>
        <v>90000</v>
      </c>
      <c r="G41" s="5" t="str">
        <f aca="false">IF(F41=0,"Lỗi mã (Cần kiểm tra)","Hợp lệ")</f>
        <v>Hợp lệ</v>
      </c>
      <c r="H41" s="5" t="s">
        <v>31</v>
      </c>
    </row>
    <row r="42" customFormat="false" ht="18.75" hidden="false" customHeight="true" outlineLevel="0" collapsed="false">
      <c r="A42" s="4" t="n">
        <v>41</v>
      </c>
      <c r="B42" s="3" t="s">
        <v>84</v>
      </c>
      <c r="C42" s="3" t="s">
        <v>14</v>
      </c>
      <c r="D42" s="3" t="s">
        <v>35</v>
      </c>
      <c r="E42" s="7" t="n">
        <v>11.5</v>
      </c>
      <c r="F42" s="4" t="n">
        <f aca="false">IFERROR(VLOOKUP(C42,BangGiaCuoc!$A$2:$C$9,3,0),0)</f>
        <v>75000</v>
      </c>
      <c r="G42" s="3" t="str">
        <f aca="false">IF(F42=0,"Lỗi mã (Cần kiểm tra)","Hợp lệ")</f>
        <v>Hợp lệ</v>
      </c>
      <c r="H42" s="3" t="s">
        <v>31</v>
      </c>
    </row>
    <row r="43" customFormat="false" ht="18.75" hidden="false" customHeight="true" outlineLevel="0" collapsed="false">
      <c r="A43" s="6" t="n">
        <v>42</v>
      </c>
      <c r="B43" s="5" t="s">
        <v>85</v>
      </c>
      <c r="C43" s="5" t="s">
        <v>86</v>
      </c>
      <c r="D43" s="5" t="s">
        <v>35</v>
      </c>
      <c r="E43" s="8" t="n">
        <v>13.7</v>
      </c>
      <c r="F43" s="6" t="n">
        <f aca="false">IFERROR(VLOOKUP(C43,BangGiaCuoc!$A$2:$C$9,3,0),0)</f>
        <v>0</v>
      </c>
      <c r="G43" s="5" t="str">
        <f aca="false">IF(F43=0,"Lỗi mã (Cần kiểm tra)","Hợp lệ")</f>
        <v>Lỗi mã (Cần kiểm tra)</v>
      </c>
      <c r="H43" s="5" t="s">
        <v>87</v>
      </c>
    </row>
    <row r="44" customFormat="false" ht="18.75" hidden="false" customHeight="true" outlineLevel="0" collapsed="false">
      <c r="A44" s="4" t="n">
        <v>43</v>
      </c>
      <c r="B44" s="3" t="s">
        <v>88</v>
      </c>
      <c r="C44" s="3" t="s">
        <v>14</v>
      </c>
      <c r="D44" s="3" t="s">
        <v>35</v>
      </c>
      <c r="E44" s="7" t="n">
        <v>9.3</v>
      </c>
      <c r="F44" s="4" t="n">
        <f aca="false">IFERROR(VLOOKUP(C44,BangGiaCuoc!$A$2:$C$9,3,0),0)</f>
        <v>75000</v>
      </c>
      <c r="G44" s="3" t="str">
        <f aca="false">IF(F44=0,"Lỗi mã (Cần kiểm tra)","Hợp lệ")</f>
        <v>Hợp lệ</v>
      </c>
      <c r="H44" s="3" t="s">
        <v>31</v>
      </c>
    </row>
    <row r="45" customFormat="false" ht="18.75" hidden="false" customHeight="true" outlineLevel="0" collapsed="false">
      <c r="A45" s="6" t="n">
        <v>44</v>
      </c>
      <c r="B45" s="5" t="s">
        <v>89</v>
      </c>
      <c r="C45" s="5" t="s">
        <v>10</v>
      </c>
      <c r="D45" s="5" t="s">
        <v>49</v>
      </c>
      <c r="E45" s="8" t="n">
        <v>11.6</v>
      </c>
      <c r="F45" s="6" t="n">
        <f aca="false">IFERROR(VLOOKUP(C45,BangGiaCuoc!$A$2:$C$9,3,0),0)</f>
        <v>32000</v>
      </c>
      <c r="G45" s="5" t="str">
        <f aca="false">IF(F45=0,"Lỗi mã (Cần kiểm tra)","Hợp lệ")</f>
        <v>Hợp lệ</v>
      </c>
      <c r="H45" s="5" t="s">
        <v>31</v>
      </c>
    </row>
    <row r="46" customFormat="false" ht="18.75" hidden="false" customHeight="true" outlineLevel="0" collapsed="false">
      <c r="A46" s="4" t="n">
        <v>45</v>
      </c>
      <c r="B46" s="3" t="s">
        <v>90</v>
      </c>
      <c r="C46" s="3" t="s">
        <v>5</v>
      </c>
      <c r="D46" s="3" t="s">
        <v>53</v>
      </c>
      <c r="E46" s="7" t="n">
        <v>5.2</v>
      </c>
      <c r="F46" s="4" t="n">
        <f aca="false">IFERROR(VLOOKUP(C46,BangGiaCuoc!$A$2:$C$9,3,0),0)</f>
        <v>22000</v>
      </c>
      <c r="G46" s="3" t="str">
        <f aca="false">IF(F46=0,"Lỗi mã (Cần kiểm tra)","Hợp lệ")</f>
        <v>Hợp lệ</v>
      </c>
      <c r="H46" s="3" t="s">
        <v>31</v>
      </c>
    </row>
    <row r="47" customFormat="false" ht="18.75" hidden="false" customHeight="true" outlineLevel="0" collapsed="false">
      <c r="A47" s="6" t="n">
        <v>46</v>
      </c>
      <c r="B47" s="5" t="s">
        <v>91</v>
      </c>
      <c r="C47" s="5" t="s">
        <v>5</v>
      </c>
      <c r="D47" s="5" t="s">
        <v>47</v>
      </c>
      <c r="E47" s="8" t="n">
        <v>14</v>
      </c>
      <c r="F47" s="6" t="n">
        <f aca="false">IFERROR(VLOOKUP(C47,BangGiaCuoc!$A$2:$C$9,3,0),0)</f>
        <v>22000</v>
      </c>
      <c r="G47" s="5" t="str">
        <f aca="false">IF(F47=0,"Lỗi mã (Cần kiểm tra)","Hợp lệ")</f>
        <v>Hợp lệ</v>
      </c>
      <c r="H47" s="5" t="s">
        <v>31</v>
      </c>
    </row>
    <row r="48" customFormat="false" ht="18.75" hidden="false" customHeight="true" outlineLevel="0" collapsed="false">
      <c r="A48" s="4" t="n">
        <v>47</v>
      </c>
      <c r="B48" s="3" t="s">
        <v>92</v>
      </c>
      <c r="C48" s="3" t="s">
        <v>14</v>
      </c>
      <c r="D48" s="3" t="s">
        <v>33</v>
      </c>
      <c r="E48" s="7" t="n">
        <v>1.3</v>
      </c>
      <c r="F48" s="4" t="n">
        <f aca="false">IFERROR(VLOOKUP(C48,BangGiaCuoc!$A$2:$C$9,3,0),0)</f>
        <v>75000</v>
      </c>
      <c r="G48" s="3" t="str">
        <f aca="false">IF(F48=0,"Lỗi mã (Cần kiểm tra)","Hợp lệ")</f>
        <v>Hợp lệ</v>
      </c>
      <c r="H48" s="3" t="s">
        <v>31</v>
      </c>
    </row>
    <row r="49" customFormat="false" ht="18.75" hidden="false" customHeight="true" outlineLevel="0" collapsed="false">
      <c r="A49" s="6" t="n">
        <v>48</v>
      </c>
      <c r="B49" s="5" t="s">
        <v>93</v>
      </c>
      <c r="C49" s="5" t="s">
        <v>8</v>
      </c>
      <c r="D49" s="5" t="s">
        <v>47</v>
      </c>
      <c r="E49" s="8" t="n">
        <v>11.1</v>
      </c>
      <c r="F49" s="6" t="n">
        <f aca="false">IFERROR(VLOOKUP(C49,BangGiaCuoc!$A$2:$C$9,3,0),0)</f>
        <v>40000</v>
      </c>
      <c r="G49" s="5" t="str">
        <f aca="false">IF(F49=0,"Lỗi mã (Cần kiểm tra)","Hợp lệ")</f>
        <v>Hợp lệ</v>
      </c>
      <c r="H49" s="5" t="s">
        <v>31</v>
      </c>
    </row>
    <row r="50" customFormat="false" ht="18.75" hidden="false" customHeight="true" outlineLevel="0" collapsed="false">
      <c r="A50" s="4" t="n">
        <v>49</v>
      </c>
      <c r="B50" s="3" t="s">
        <v>94</v>
      </c>
      <c r="C50" s="3" t="s">
        <v>8</v>
      </c>
      <c r="D50" s="3" t="s">
        <v>35</v>
      </c>
      <c r="E50" s="7" t="n">
        <v>11.6</v>
      </c>
      <c r="F50" s="4" t="n">
        <f aca="false">IFERROR(VLOOKUP(C50,BangGiaCuoc!$A$2:$C$9,3,0),0)</f>
        <v>40000</v>
      </c>
      <c r="G50" s="3" t="str">
        <f aca="false">IF(F50=0,"Lỗi mã (Cần kiểm tra)","Hợp lệ")</f>
        <v>Hợp lệ</v>
      </c>
      <c r="H50" s="3" t="s">
        <v>31</v>
      </c>
    </row>
    <row r="51" customFormat="false" ht="18.75" hidden="false" customHeight="true" outlineLevel="0" collapsed="false">
      <c r="A51" s="6" t="n">
        <v>50</v>
      </c>
      <c r="B51" s="5" t="s">
        <v>95</v>
      </c>
      <c r="C51" s="5" t="s">
        <v>10</v>
      </c>
      <c r="D51" s="5" t="s">
        <v>72</v>
      </c>
      <c r="E51" s="8" t="n">
        <v>14.2</v>
      </c>
      <c r="F51" s="6" t="n">
        <f aca="false">IFERROR(VLOOKUP(C51,BangGiaCuoc!$A$2:$C$9,3,0),0)</f>
        <v>32000</v>
      </c>
      <c r="G51" s="5" t="str">
        <f aca="false">IF(F51=0,"Lỗi mã (Cần kiểm tra)","Hợp lệ")</f>
        <v>Hợp lệ</v>
      </c>
      <c r="H51" s="5" t="s">
        <v>31</v>
      </c>
    </row>
    <row r="52" customFormat="false" ht="18.75" hidden="false" customHeight="true" outlineLevel="0" collapsed="false">
      <c r="A52" s="4" t="n">
        <v>51</v>
      </c>
      <c r="B52" s="3" t="s">
        <v>96</v>
      </c>
      <c r="C52" s="3" t="s">
        <v>10</v>
      </c>
      <c r="D52" s="3" t="s">
        <v>58</v>
      </c>
      <c r="E52" s="7" t="n">
        <v>8.2</v>
      </c>
      <c r="F52" s="4" t="n">
        <f aca="false">IFERROR(VLOOKUP(C52,BangGiaCuoc!$A$2:$C$9,3,0),0)</f>
        <v>32000</v>
      </c>
      <c r="G52" s="3" t="str">
        <f aca="false">IF(F52=0,"Lỗi mã (Cần kiểm tra)","Hợp lệ")</f>
        <v>Hợp lệ</v>
      </c>
      <c r="H52" s="3" t="s">
        <v>31</v>
      </c>
    </row>
    <row r="53" customFormat="false" ht="18.75" hidden="false" customHeight="true" outlineLevel="0" collapsed="false">
      <c r="A53" s="6" t="n">
        <v>52</v>
      </c>
      <c r="B53" s="5" t="s">
        <v>97</v>
      </c>
      <c r="C53" s="5" t="s">
        <v>18</v>
      </c>
      <c r="D53" s="5" t="s">
        <v>33</v>
      </c>
      <c r="E53" s="8" t="n">
        <v>14</v>
      </c>
      <c r="F53" s="6" t="n">
        <f aca="false">IFERROR(VLOOKUP(C53,BangGiaCuoc!$A$2:$C$9,3,0),0)</f>
        <v>90000</v>
      </c>
      <c r="G53" s="5" t="str">
        <f aca="false">IF(F53=0,"Lỗi mã (Cần kiểm tra)","Hợp lệ")</f>
        <v>Hợp lệ</v>
      </c>
      <c r="H53" s="5" t="s">
        <v>31</v>
      </c>
    </row>
    <row r="54" customFormat="false" ht="18.75" hidden="false" customHeight="true" outlineLevel="0" collapsed="false">
      <c r="A54" s="4" t="n">
        <v>53</v>
      </c>
      <c r="B54" s="3" t="s">
        <v>98</v>
      </c>
      <c r="C54" s="3" t="s">
        <v>12</v>
      </c>
      <c r="D54" s="3" t="s">
        <v>58</v>
      </c>
      <c r="E54" s="7" t="n">
        <v>6.3</v>
      </c>
      <c r="F54" s="4" t="n">
        <f aca="false">IFERROR(VLOOKUP(C54,BangGiaCuoc!$A$2:$C$9,3,0),0)</f>
        <v>55000</v>
      </c>
      <c r="G54" s="3" t="str">
        <f aca="false">IF(F54=0,"Lỗi mã (Cần kiểm tra)","Hợp lệ")</f>
        <v>Hợp lệ</v>
      </c>
      <c r="H54" s="3" t="s">
        <v>31</v>
      </c>
    </row>
    <row r="55" customFormat="false" ht="18.75" hidden="false" customHeight="true" outlineLevel="0" collapsed="false">
      <c r="A55" s="6" t="n">
        <v>54</v>
      </c>
      <c r="B55" s="5" t="s">
        <v>99</v>
      </c>
      <c r="C55" s="5" t="s">
        <v>16</v>
      </c>
      <c r="D55" s="5" t="s">
        <v>72</v>
      </c>
      <c r="E55" s="8" t="n">
        <v>13.5</v>
      </c>
      <c r="F55" s="6" t="n">
        <f aca="false">IFERROR(VLOOKUP(C55,BangGiaCuoc!$A$2:$C$9,3,0),0)</f>
        <v>65000</v>
      </c>
      <c r="G55" s="5" t="str">
        <f aca="false">IF(F55=0,"Lỗi mã (Cần kiểm tra)","Hợp lệ")</f>
        <v>Hợp lệ</v>
      </c>
      <c r="H55" s="5" t="s">
        <v>31</v>
      </c>
    </row>
    <row r="56" customFormat="false" ht="18.75" hidden="false" customHeight="true" outlineLevel="0" collapsed="false">
      <c r="A56" s="4" t="n">
        <v>55</v>
      </c>
      <c r="B56" s="3" t="s">
        <v>100</v>
      </c>
      <c r="C56" s="3" t="s">
        <v>20</v>
      </c>
      <c r="D56" s="3" t="s">
        <v>47</v>
      </c>
      <c r="E56" s="7" t="n">
        <v>4.1</v>
      </c>
      <c r="F56" s="4" t="n">
        <f aca="false">IFERROR(VLOOKUP(C56,BangGiaCuoc!$A$2:$C$9,3,0),0)</f>
        <v>110000</v>
      </c>
      <c r="G56" s="3" t="str">
        <f aca="false">IF(F56=0,"Lỗi mã (Cần kiểm tra)","Hợp lệ")</f>
        <v>Hợp lệ</v>
      </c>
      <c r="H56" s="3" t="s">
        <v>31</v>
      </c>
    </row>
    <row r="57" customFormat="false" ht="18.75" hidden="false" customHeight="true" outlineLevel="0" collapsed="false">
      <c r="A57" s="6" t="n">
        <v>56</v>
      </c>
      <c r="B57" s="5" t="s">
        <v>101</v>
      </c>
      <c r="C57" s="5" t="s">
        <v>8</v>
      </c>
      <c r="D57" s="5" t="s">
        <v>49</v>
      </c>
      <c r="E57" s="8" t="n">
        <v>0.8</v>
      </c>
      <c r="F57" s="6" t="n">
        <f aca="false">IFERROR(VLOOKUP(C57,BangGiaCuoc!$A$2:$C$9,3,0),0)</f>
        <v>40000</v>
      </c>
      <c r="G57" s="5" t="str">
        <f aca="false">IF(F57=0,"Lỗi mã (Cần kiểm tra)","Hợp lệ")</f>
        <v>Hợp lệ</v>
      </c>
      <c r="H57" s="5" t="s">
        <v>31</v>
      </c>
    </row>
    <row r="58" customFormat="false" ht="18.75" hidden="false" customHeight="true" outlineLevel="0" collapsed="false">
      <c r="A58" s="4" t="n">
        <v>57</v>
      </c>
      <c r="B58" s="3" t="s">
        <v>102</v>
      </c>
      <c r="C58" s="3" t="s">
        <v>12</v>
      </c>
      <c r="D58" s="3" t="s">
        <v>53</v>
      </c>
      <c r="E58" s="7" t="n">
        <v>3.7</v>
      </c>
      <c r="F58" s="4" t="n">
        <f aca="false">IFERROR(VLOOKUP(C58,BangGiaCuoc!$A$2:$C$9,3,0),0)</f>
        <v>55000</v>
      </c>
      <c r="G58" s="3" t="str">
        <f aca="false">IF(F58=0,"Lỗi mã (Cần kiểm tra)","Hợp lệ")</f>
        <v>Hợp lệ</v>
      </c>
      <c r="H58" s="3" t="s">
        <v>31</v>
      </c>
    </row>
    <row r="59" customFormat="false" ht="18.75" hidden="false" customHeight="true" outlineLevel="0" collapsed="false">
      <c r="A59" s="6" t="n">
        <v>58</v>
      </c>
      <c r="B59" s="5" t="s">
        <v>103</v>
      </c>
      <c r="C59" s="5" t="s">
        <v>8</v>
      </c>
      <c r="D59" s="5" t="s">
        <v>30</v>
      </c>
      <c r="E59" s="8" t="n">
        <v>3.8</v>
      </c>
      <c r="F59" s="6" t="n">
        <f aca="false">IFERROR(VLOOKUP(C59,BangGiaCuoc!$A$2:$C$9,3,0),0)</f>
        <v>40000</v>
      </c>
      <c r="G59" s="5" t="str">
        <f aca="false">IF(F59=0,"Lỗi mã (Cần kiểm tra)","Hợp lệ")</f>
        <v>Hợp lệ</v>
      </c>
      <c r="H59" s="5" t="s">
        <v>31</v>
      </c>
    </row>
    <row r="60" customFormat="false" ht="18.75" hidden="false" customHeight="true" outlineLevel="0" collapsed="false">
      <c r="A60" s="4" t="n">
        <v>59</v>
      </c>
      <c r="B60" s="3" t="s">
        <v>104</v>
      </c>
      <c r="C60" s="3" t="s">
        <v>5</v>
      </c>
      <c r="D60" s="3" t="s">
        <v>49</v>
      </c>
      <c r="E60" s="7" t="n">
        <v>1.5</v>
      </c>
      <c r="F60" s="4" t="n">
        <f aca="false">IFERROR(VLOOKUP(C60,BangGiaCuoc!$A$2:$C$9,3,0),0)</f>
        <v>22000</v>
      </c>
      <c r="G60" s="3" t="str">
        <f aca="false">IF(F60=0,"Lỗi mã (Cần kiểm tra)","Hợp lệ")</f>
        <v>Hợp lệ</v>
      </c>
      <c r="H60" s="3" t="s">
        <v>31</v>
      </c>
    </row>
    <row r="61" customFormat="false" ht="18.75" hidden="false" customHeight="true" outlineLevel="0" collapsed="false">
      <c r="A61" s="6" t="n">
        <v>60</v>
      </c>
      <c r="B61" s="5" t="s">
        <v>105</v>
      </c>
      <c r="C61" s="5" t="s">
        <v>12</v>
      </c>
      <c r="D61" s="5" t="s">
        <v>58</v>
      </c>
      <c r="E61" s="8" t="n">
        <v>10.2</v>
      </c>
      <c r="F61" s="6" t="n">
        <f aca="false">IFERROR(VLOOKUP(C61,BangGiaCuoc!$A$2:$C$9,3,0),0)</f>
        <v>55000</v>
      </c>
      <c r="G61" s="5" t="str">
        <f aca="false">IF(F61=0,"Lỗi mã (Cần kiểm tra)","Hợp lệ")</f>
        <v>Hợp lệ</v>
      </c>
      <c r="H61" s="5" t="s">
        <v>31</v>
      </c>
    </row>
    <row r="62" customFormat="false" ht="18.75" hidden="false" customHeight="true" outlineLevel="0" collapsed="false">
      <c r="A62" s="4" t="n">
        <v>61</v>
      </c>
      <c r="B62" s="3" t="s">
        <v>106</v>
      </c>
      <c r="C62" s="3" t="s">
        <v>12</v>
      </c>
      <c r="D62" s="3" t="s">
        <v>35</v>
      </c>
      <c r="E62" s="7" t="n">
        <v>2.4</v>
      </c>
      <c r="F62" s="4" t="n">
        <f aca="false">IFERROR(VLOOKUP(C62,BangGiaCuoc!$A$2:$C$9,3,0),0)</f>
        <v>55000</v>
      </c>
      <c r="G62" s="3" t="str">
        <f aca="false">IF(F62=0,"Lỗi mã (Cần kiểm tra)","Hợp lệ")</f>
        <v>Hợp lệ</v>
      </c>
      <c r="H62" s="3" t="s">
        <v>31</v>
      </c>
    </row>
    <row r="63" customFormat="false" ht="18.75" hidden="false" customHeight="true" outlineLevel="0" collapsed="false">
      <c r="A63" s="6" t="n">
        <v>62</v>
      </c>
      <c r="B63" s="5" t="s">
        <v>107</v>
      </c>
      <c r="C63" s="5" t="s">
        <v>20</v>
      </c>
      <c r="D63" s="5" t="s">
        <v>33</v>
      </c>
      <c r="E63" s="8" t="n">
        <v>11.9</v>
      </c>
      <c r="F63" s="6" t="n">
        <f aca="false">IFERROR(VLOOKUP(C63,BangGiaCuoc!$A$2:$C$9,3,0),0)</f>
        <v>110000</v>
      </c>
      <c r="G63" s="5" t="str">
        <f aca="false">IF(F63=0,"Lỗi mã (Cần kiểm tra)","Hợp lệ")</f>
        <v>Hợp lệ</v>
      </c>
      <c r="H63" s="5" t="s">
        <v>31</v>
      </c>
    </row>
    <row r="64" customFormat="false" ht="18.75" hidden="false" customHeight="true" outlineLevel="0" collapsed="false">
      <c r="A64" s="4" t="n">
        <v>63</v>
      </c>
      <c r="B64" s="3" t="s">
        <v>108</v>
      </c>
      <c r="C64" s="3" t="s">
        <v>18</v>
      </c>
      <c r="D64" s="3" t="s">
        <v>33</v>
      </c>
      <c r="E64" s="7" t="n">
        <v>1.9</v>
      </c>
      <c r="F64" s="4" t="n">
        <f aca="false">IFERROR(VLOOKUP(C64,BangGiaCuoc!$A$2:$C$9,3,0),0)</f>
        <v>90000</v>
      </c>
      <c r="G64" s="3" t="str">
        <f aca="false">IF(F64=0,"Lỗi mã (Cần kiểm tra)","Hợp lệ")</f>
        <v>Hợp lệ</v>
      </c>
      <c r="H64" s="3" t="s">
        <v>31</v>
      </c>
    </row>
    <row r="65" customFormat="false" ht="18.75" hidden="false" customHeight="true" outlineLevel="0" collapsed="false">
      <c r="A65" s="6" t="n">
        <v>64</v>
      </c>
      <c r="B65" s="5" t="s">
        <v>109</v>
      </c>
      <c r="C65" s="5" t="s">
        <v>18</v>
      </c>
      <c r="D65" s="5" t="s">
        <v>49</v>
      </c>
      <c r="E65" s="8" t="n">
        <v>6.6</v>
      </c>
      <c r="F65" s="6" t="n">
        <f aca="false">IFERROR(VLOOKUP(C65,BangGiaCuoc!$A$2:$C$9,3,0),0)</f>
        <v>90000</v>
      </c>
      <c r="G65" s="5" t="str">
        <f aca="false">IF(F65=0,"Lỗi mã (Cần kiểm tra)","Hợp lệ")</f>
        <v>Hợp lệ</v>
      </c>
      <c r="H65" s="5" t="s">
        <v>31</v>
      </c>
    </row>
    <row r="66" customFormat="false" ht="18.75" hidden="false" customHeight="true" outlineLevel="0" collapsed="false">
      <c r="A66" s="4" t="n">
        <v>65</v>
      </c>
      <c r="B66" s="3" t="s">
        <v>110</v>
      </c>
      <c r="C66" s="3" t="s">
        <v>20</v>
      </c>
      <c r="D66" s="3" t="s">
        <v>30</v>
      </c>
      <c r="E66" s="7" t="n">
        <v>10.3</v>
      </c>
      <c r="F66" s="4" t="n">
        <f aca="false">IFERROR(VLOOKUP(C66,BangGiaCuoc!$A$2:$C$9,3,0),0)</f>
        <v>110000</v>
      </c>
      <c r="G66" s="3" t="str">
        <f aca="false">IF(F66=0,"Lỗi mã (Cần kiểm tra)","Hợp lệ")</f>
        <v>Hợp lệ</v>
      </c>
      <c r="H66" s="3" t="s">
        <v>31</v>
      </c>
    </row>
    <row r="67" customFormat="false" ht="18.75" hidden="false" customHeight="true" outlineLevel="0" collapsed="false">
      <c r="A67" s="6" t="n">
        <v>66</v>
      </c>
      <c r="B67" s="5" t="s">
        <v>111</v>
      </c>
      <c r="C67" s="5" t="s">
        <v>8</v>
      </c>
      <c r="D67" s="5" t="s">
        <v>30</v>
      </c>
      <c r="E67" s="8" t="n">
        <v>6.3</v>
      </c>
      <c r="F67" s="6" t="n">
        <f aca="false">IFERROR(VLOOKUP(C67,BangGiaCuoc!$A$2:$C$9,3,0),0)</f>
        <v>40000</v>
      </c>
      <c r="G67" s="5" t="str">
        <f aca="false">IF(F67=0,"Lỗi mã (Cần kiểm tra)","Hợp lệ")</f>
        <v>Hợp lệ</v>
      </c>
      <c r="H67" s="5" t="s">
        <v>31</v>
      </c>
    </row>
    <row r="68" customFormat="false" ht="18.75" hidden="false" customHeight="true" outlineLevel="0" collapsed="false">
      <c r="A68" s="4" t="n">
        <v>67</v>
      </c>
      <c r="B68" s="3" t="s">
        <v>112</v>
      </c>
      <c r="C68" s="3" t="s">
        <v>16</v>
      </c>
      <c r="D68" s="3" t="s">
        <v>47</v>
      </c>
      <c r="E68" s="7" t="n">
        <v>4.1</v>
      </c>
      <c r="F68" s="4" t="n">
        <f aca="false">IFERROR(VLOOKUP(C68,BangGiaCuoc!$A$2:$C$9,3,0),0)</f>
        <v>65000</v>
      </c>
      <c r="G68" s="3" t="str">
        <f aca="false">IF(F68=0,"Lỗi mã (Cần kiểm tra)","Hợp lệ")</f>
        <v>Hợp lệ</v>
      </c>
      <c r="H68" s="3" t="s">
        <v>31</v>
      </c>
    </row>
    <row r="69" customFormat="false" ht="18.75" hidden="false" customHeight="true" outlineLevel="0" collapsed="false">
      <c r="A69" s="6" t="n">
        <v>68</v>
      </c>
      <c r="B69" s="5" t="s">
        <v>113</v>
      </c>
      <c r="C69" s="5" t="s">
        <v>12</v>
      </c>
      <c r="D69" s="5" t="s">
        <v>35</v>
      </c>
      <c r="E69" s="8" t="n">
        <v>7</v>
      </c>
      <c r="F69" s="6" t="n">
        <f aca="false">IFERROR(VLOOKUP(C69,BangGiaCuoc!$A$2:$C$9,3,0),0)</f>
        <v>55000</v>
      </c>
      <c r="G69" s="5" t="str">
        <f aca="false">IF(F69=0,"Lỗi mã (Cần kiểm tra)","Hợp lệ")</f>
        <v>Hợp lệ</v>
      </c>
      <c r="H69" s="5" t="s">
        <v>31</v>
      </c>
    </row>
    <row r="70" customFormat="false" ht="18.75" hidden="false" customHeight="true" outlineLevel="0" collapsed="false">
      <c r="A70" s="4" t="n">
        <v>69</v>
      </c>
      <c r="B70" s="3" t="s">
        <v>114</v>
      </c>
      <c r="C70" s="3" t="s">
        <v>18</v>
      </c>
      <c r="D70" s="3" t="s">
        <v>65</v>
      </c>
      <c r="E70" s="7" t="n">
        <v>4.5</v>
      </c>
      <c r="F70" s="4" t="n">
        <f aca="false">IFERROR(VLOOKUP(C70,BangGiaCuoc!$A$2:$C$9,3,0),0)</f>
        <v>90000</v>
      </c>
      <c r="G70" s="3" t="str">
        <f aca="false">IF(F70=0,"Lỗi mã (Cần kiểm tra)","Hợp lệ")</f>
        <v>Hợp lệ</v>
      </c>
      <c r="H70" s="3" t="s">
        <v>31</v>
      </c>
    </row>
    <row r="71" customFormat="false" ht="18.75" hidden="false" customHeight="true" outlineLevel="0" collapsed="false">
      <c r="A71" s="6" t="n">
        <v>70</v>
      </c>
      <c r="B71" s="5" t="s">
        <v>115</v>
      </c>
      <c r="C71" s="5" t="s">
        <v>12</v>
      </c>
      <c r="D71" s="5" t="s">
        <v>47</v>
      </c>
      <c r="E71" s="8" t="n">
        <v>6.9</v>
      </c>
      <c r="F71" s="6" t="n">
        <f aca="false">IFERROR(VLOOKUP(C71,BangGiaCuoc!$A$2:$C$9,3,0),0)</f>
        <v>55000</v>
      </c>
      <c r="G71" s="5" t="str">
        <f aca="false">IF(F71=0,"Lỗi mã (Cần kiểm tra)","Hợp lệ")</f>
        <v>Hợp lệ</v>
      </c>
      <c r="H71" s="5" t="s">
        <v>31</v>
      </c>
    </row>
    <row r="72" customFormat="false" ht="18.75" hidden="false" customHeight="true" outlineLevel="0" collapsed="false">
      <c r="A72" s="4" t="n">
        <v>71</v>
      </c>
      <c r="B72" s="3" t="s">
        <v>116</v>
      </c>
      <c r="C72" s="3" t="s">
        <v>8</v>
      </c>
      <c r="D72" s="3" t="s">
        <v>30</v>
      </c>
      <c r="E72" s="7" t="n">
        <v>10</v>
      </c>
      <c r="F72" s="4" t="n">
        <f aca="false">IFERROR(VLOOKUP(C72,BangGiaCuoc!$A$2:$C$9,3,0),0)</f>
        <v>40000</v>
      </c>
      <c r="G72" s="3" t="str">
        <f aca="false">IF(F72=0,"Lỗi mã (Cần kiểm tra)","Hợp lệ")</f>
        <v>Hợp lệ</v>
      </c>
      <c r="H72" s="3" t="s">
        <v>31</v>
      </c>
    </row>
    <row r="73" customFormat="false" ht="18.75" hidden="false" customHeight="true" outlineLevel="0" collapsed="false">
      <c r="A73" s="6" t="n">
        <v>72</v>
      </c>
      <c r="B73" s="5" t="s">
        <v>117</v>
      </c>
      <c r="C73" s="5" t="s">
        <v>5</v>
      </c>
      <c r="D73" s="5" t="s">
        <v>47</v>
      </c>
      <c r="E73" s="8" t="n">
        <v>13.9</v>
      </c>
      <c r="F73" s="6" t="n">
        <f aca="false">IFERROR(VLOOKUP(C73,BangGiaCuoc!$A$2:$C$9,3,0),0)</f>
        <v>22000</v>
      </c>
      <c r="G73" s="5" t="str">
        <f aca="false">IF(F73=0,"Lỗi mã (Cần kiểm tra)","Hợp lệ")</f>
        <v>Hợp lệ</v>
      </c>
      <c r="H73" s="5" t="s">
        <v>31</v>
      </c>
    </row>
    <row r="74" customFormat="false" ht="18.75" hidden="false" customHeight="true" outlineLevel="0" collapsed="false">
      <c r="A74" s="4" t="n">
        <v>73</v>
      </c>
      <c r="B74" s="3" t="s">
        <v>118</v>
      </c>
      <c r="C74" s="3" t="s">
        <v>12</v>
      </c>
      <c r="D74" s="3" t="s">
        <v>65</v>
      </c>
      <c r="E74" s="7" t="n">
        <v>6.4</v>
      </c>
      <c r="F74" s="4" t="n">
        <f aca="false">IFERROR(VLOOKUP(C74,BangGiaCuoc!$A$2:$C$9,3,0),0)</f>
        <v>55000</v>
      </c>
      <c r="G74" s="3" t="str">
        <f aca="false">IF(F74=0,"Lỗi mã (Cần kiểm tra)","Hợp lệ")</f>
        <v>Hợp lệ</v>
      </c>
      <c r="H74" s="3" t="s">
        <v>31</v>
      </c>
    </row>
    <row r="75" customFormat="false" ht="18.75" hidden="false" customHeight="true" outlineLevel="0" collapsed="false">
      <c r="A75" s="6" t="n">
        <v>74</v>
      </c>
      <c r="B75" s="5" t="s">
        <v>119</v>
      </c>
      <c r="C75" s="5" t="s">
        <v>20</v>
      </c>
      <c r="D75" s="5" t="s">
        <v>33</v>
      </c>
      <c r="E75" s="8" t="n">
        <v>13</v>
      </c>
      <c r="F75" s="6" t="n">
        <f aca="false">IFERROR(VLOOKUP(C75,BangGiaCuoc!$A$2:$C$9,3,0),0)</f>
        <v>110000</v>
      </c>
      <c r="G75" s="5" t="str">
        <f aca="false">IF(F75=0,"Lỗi mã (Cần kiểm tra)","Hợp lệ")</f>
        <v>Hợp lệ</v>
      </c>
      <c r="H75" s="5" t="s">
        <v>31</v>
      </c>
    </row>
    <row r="76" customFormat="false" ht="18.75" hidden="false" customHeight="true" outlineLevel="0" collapsed="false">
      <c r="A76" s="4" t="n">
        <v>75</v>
      </c>
      <c r="B76" s="3" t="s">
        <v>120</v>
      </c>
      <c r="C76" s="3" t="s">
        <v>5</v>
      </c>
      <c r="D76" s="3" t="s">
        <v>65</v>
      </c>
      <c r="E76" s="7" t="n">
        <v>6</v>
      </c>
      <c r="F76" s="4" t="n">
        <f aca="false">IFERROR(VLOOKUP(C76,BangGiaCuoc!$A$2:$C$9,3,0),0)</f>
        <v>22000</v>
      </c>
      <c r="G76" s="3" t="str">
        <f aca="false">IF(F76=0,"Lỗi mã (Cần kiểm tra)","Hợp lệ")</f>
        <v>Hợp lệ</v>
      </c>
      <c r="H76" s="3" t="s">
        <v>31</v>
      </c>
    </row>
    <row r="77" customFormat="false" ht="18.75" hidden="false" customHeight="true" outlineLevel="0" collapsed="false">
      <c r="A77" s="6" t="n">
        <v>76</v>
      </c>
      <c r="B77" s="5" t="s">
        <v>121</v>
      </c>
      <c r="C77" s="5" t="s">
        <v>18</v>
      </c>
      <c r="D77" s="5" t="s">
        <v>58</v>
      </c>
      <c r="E77" s="8" t="n">
        <v>13.9</v>
      </c>
      <c r="F77" s="6" t="n">
        <f aca="false">IFERROR(VLOOKUP(C77,BangGiaCuoc!$A$2:$C$9,3,0),0)</f>
        <v>90000</v>
      </c>
      <c r="G77" s="5" t="str">
        <f aca="false">IF(F77=0,"Lỗi mã (Cần kiểm tra)","Hợp lệ")</f>
        <v>Hợp lệ</v>
      </c>
      <c r="H77" s="5" t="s">
        <v>31</v>
      </c>
    </row>
    <row r="78" customFormat="false" ht="18.75" hidden="false" customHeight="true" outlineLevel="0" collapsed="false">
      <c r="A78" s="4" t="n">
        <v>77</v>
      </c>
      <c r="B78" s="3" t="s">
        <v>122</v>
      </c>
      <c r="C78" s="3" t="s">
        <v>20</v>
      </c>
      <c r="D78" s="3" t="s">
        <v>58</v>
      </c>
      <c r="E78" s="7" t="n">
        <v>6.6</v>
      </c>
      <c r="F78" s="4" t="n">
        <f aca="false">IFERROR(VLOOKUP(C78,BangGiaCuoc!$A$2:$C$9,3,0),0)</f>
        <v>110000</v>
      </c>
      <c r="G78" s="3" t="str">
        <f aca="false">IF(F78=0,"Lỗi mã (Cần kiểm tra)","Hợp lệ")</f>
        <v>Hợp lệ</v>
      </c>
      <c r="H78" s="3" t="s">
        <v>31</v>
      </c>
    </row>
    <row r="79" customFormat="false" ht="18.75" hidden="false" customHeight="true" outlineLevel="0" collapsed="false">
      <c r="A79" s="6" t="n">
        <v>78</v>
      </c>
      <c r="B79" s="5" t="s">
        <v>123</v>
      </c>
      <c r="C79" s="5" t="s">
        <v>20</v>
      </c>
      <c r="D79" s="5" t="s">
        <v>65</v>
      </c>
      <c r="E79" s="8" t="n">
        <v>3.3</v>
      </c>
      <c r="F79" s="6" t="n">
        <f aca="false">IFERROR(VLOOKUP(C79,BangGiaCuoc!$A$2:$C$9,3,0),0)</f>
        <v>110000</v>
      </c>
      <c r="G79" s="5" t="str">
        <f aca="false">IF(F79=0,"Lỗi mã (Cần kiểm tra)","Hợp lệ")</f>
        <v>Hợp lệ</v>
      </c>
      <c r="H79" s="5" t="s">
        <v>31</v>
      </c>
    </row>
    <row r="80" customFormat="false" ht="18.75" hidden="false" customHeight="true" outlineLevel="0" collapsed="false">
      <c r="A80" s="4" t="n">
        <v>79</v>
      </c>
      <c r="B80" s="3" t="s">
        <v>124</v>
      </c>
      <c r="C80" s="3" t="s">
        <v>12</v>
      </c>
      <c r="D80" s="3" t="s">
        <v>30</v>
      </c>
      <c r="E80" s="7" t="n">
        <v>8.9</v>
      </c>
      <c r="F80" s="4" t="n">
        <f aca="false">IFERROR(VLOOKUP(C80,BangGiaCuoc!$A$2:$C$9,3,0),0)</f>
        <v>55000</v>
      </c>
      <c r="G80" s="3" t="str">
        <f aca="false">IF(F80=0,"Lỗi mã (Cần kiểm tra)","Hợp lệ")</f>
        <v>Hợp lệ</v>
      </c>
      <c r="H80" s="3" t="s">
        <v>31</v>
      </c>
    </row>
    <row r="81" customFormat="false" ht="18.75" hidden="false" customHeight="true" outlineLevel="0" collapsed="false">
      <c r="A81" s="6" t="n">
        <v>80</v>
      </c>
      <c r="B81" s="5" t="s">
        <v>125</v>
      </c>
      <c r="C81" s="5" t="s">
        <v>5</v>
      </c>
      <c r="D81" s="5" t="s">
        <v>49</v>
      </c>
      <c r="E81" s="8" t="n">
        <v>1.3</v>
      </c>
      <c r="F81" s="6" t="n">
        <f aca="false">IFERROR(VLOOKUP(C81,BangGiaCuoc!$A$2:$C$9,3,0),0)</f>
        <v>22000</v>
      </c>
      <c r="G81" s="5" t="str">
        <f aca="false">IF(F81=0,"Lỗi mã (Cần kiểm tra)","Hợp lệ")</f>
        <v>Hợp lệ</v>
      </c>
      <c r="H81" s="5" t="s">
        <v>31</v>
      </c>
    </row>
    <row r="82" customFormat="false" ht="18.75" hidden="false" customHeight="true" outlineLevel="0" collapsed="false">
      <c r="A82" s="4" t="n">
        <v>81</v>
      </c>
      <c r="B82" s="3" t="s">
        <v>126</v>
      </c>
      <c r="C82" s="3" t="s">
        <v>20</v>
      </c>
      <c r="D82" s="3" t="s">
        <v>35</v>
      </c>
      <c r="E82" s="7" t="n">
        <v>13.8</v>
      </c>
      <c r="F82" s="4" t="n">
        <f aca="false">IFERROR(VLOOKUP(C82,BangGiaCuoc!$A$2:$C$9,3,0),0)</f>
        <v>110000</v>
      </c>
      <c r="G82" s="3" t="str">
        <f aca="false">IF(F82=0,"Lỗi mã (Cần kiểm tra)","Hợp lệ")</f>
        <v>Hợp lệ</v>
      </c>
      <c r="H82" s="3" t="s">
        <v>31</v>
      </c>
    </row>
    <row r="83" customFormat="false" ht="18.75" hidden="false" customHeight="true" outlineLevel="0" collapsed="false">
      <c r="A83" s="6" t="n">
        <v>82</v>
      </c>
      <c r="B83" s="5" t="s">
        <v>127</v>
      </c>
      <c r="C83" s="5" t="s">
        <v>10</v>
      </c>
      <c r="D83" s="5" t="s">
        <v>30</v>
      </c>
      <c r="E83" s="8" t="n">
        <v>14.4</v>
      </c>
      <c r="F83" s="6" t="n">
        <f aca="false">IFERROR(VLOOKUP(C83,BangGiaCuoc!$A$2:$C$9,3,0),0)</f>
        <v>32000</v>
      </c>
      <c r="G83" s="5" t="str">
        <f aca="false">IF(F83=0,"Lỗi mã (Cần kiểm tra)","Hợp lệ")</f>
        <v>Hợp lệ</v>
      </c>
      <c r="H83" s="5" t="s">
        <v>31</v>
      </c>
    </row>
    <row r="84" customFormat="false" ht="18.75" hidden="false" customHeight="true" outlineLevel="0" collapsed="false">
      <c r="A84" s="4" t="n">
        <v>83</v>
      </c>
      <c r="B84" s="3" t="s">
        <v>128</v>
      </c>
      <c r="C84" s="3" t="s">
        <v>8</v>
      </c>
      <c r="D84" s="3" t="s">
        <v>65</v>
      </c>
      <c r="E84" s="7" t="n">
        <v>1.5</v>
      </c>
      <c r="F84" s="4" t="n">
        <f aca="false">IFERROR(VLOOKUP(C84,BangGiaCuoc!$A$2:$C$9,3,0),0)</f>
        <v>40000</v>
      </c>
      <c r="G84" s="3" t="str">
        <f aca="false">IF(F84=0,"Lỗi mã (Cần kiểm tra)","Hợp lệ")</f>
        <v>Hợp lệ</v>
      </c>
      <c r="H84" s="3" t="s">
        <v>31</v>
      </c>
    </row>
    <row r="85" customFormat="false" ht="18.75" hidden="false" customHeight="true" outlineLevel="0" collapsed="false">
      <c r="A85" s="6" t="n">
        <v>84</v>
      </c>
      <c r="B85" s="5" t="s">
        <v>129</v>
      </c>
      <c r="C85" s="5" t="s">
        <v>8</v>
      </c>
      <c r="D85" s="5" t="s">
        <v>33</v>
      </c>
      <c r="E85" s="8" t="n">
        <v>6.4</v>
      </c>
      <c r="F85" s="6" t="n">
        <f aca="false">IFERROR(VLOOKUP(C85,BangGiaCuoc!$A$2:$C$9,3,0),0)</f>
        <v>40000</v>
      </c>
      <c r="G85" s="5" t="str">
        <f aca="false">IF(F85=0,"Lỗi mã (Cần kiểm tra)","Hợp lệ")</f>
        <v>Hợp lệ</v>
      </c>
      <c r="H85" s="5" t="s">
        <v>31</v>
      </c>
    </row>
    <row r="86" customFormat="false" ht="18.75" hidden="false" customHeight="true" outlineLevel="0" collapsed="false">
      <c r="A86" s="4" t="n">
        <v>85</v>
      </c>
      <c r="B86" s="3" t="s">
        <v>130</v>
      </c>
      <c r="C86" s="3" t="s">
        <v>12</v>
      </c>
      <c r="D86" s="3" t="s">
        <v>53</v>
      </c>
      <c r="E86" s="7" t="n">
        <v>9.1</v>
      </c>
      <c r="F86" s="4" t="n">
        <f aca="false">IFERROR(VLOOKUP(C86,BangGiaCuoc!$A$2:$C$9,3,0),0)</f>
        <v>55000</v>
      </c>
      <c r="G86" s="3" t="str">
        <f aca="false">IF(F86=0,"Lỗi mã (Cần kiểm tra)","Hợp lệ")</f>
        <v>Hợp lệ</v>
      </c>
      <c r="H86" s="3" t="s">
        <v>31</v>
      </c>
    </row>
    <row r="87" customFormat="false" ht="18.75" hidden="false" customHeight="true" outlineLevel="0" collapsed="false">
      <c r="A87" s="6" t="n">
        <v>86</v>
      </c>
      <c r="B87" s="5" t="s">
        <v>131</v>
      </c>
      <c r="C87" s="5" t="s">
        <v>8</v>
      </c>
      <c r="D87" s="5" t="s">
        <v>44</v>
      </c>
      <c r="E87" s="8" t="n">
        <v>10</v>
      </c>
      <c r="F87" s="6" t="n">
        <f aca="false">IFERROR(VLOOKUP(C87,BangGiaCuoc!$A$2:$C$9,3,0),0)</f>
        <v>40000</v>
      </c>
      <c r="G87" s="5" t="str">
        <f aca="false">IF(F87=0,"Lỗi mã (Cần kiểm tra)","Hợp lệ")</f>
        <v>Hợp lệ</v>
      </c>
      <c r="H87" s="5" t="s">
        <v>31</v>
      </c>
    </row>
    <row r="88" customFormat="false" ht="18.75" hidden="false" customHeight="true" outlineLevel="0" collapsed="false">
      <c r="A88" s="4" t="n">
        <v>87</v>
      </c>
      <c r="B88" s="3" t="s">
        <v>132</v>
      </c>
      <c r="C88" s="3" t="s">
        <v>16</v>
      </c>
      <c r="D88" s="3" t="s">
        <v>58</v>
      </c>
      <c r="E88" s="7" t="n">
        <v>3.5</v>
      </c>
      <c r="F88" s="4" t="n">
        <f aca="false">IFERROR(VLOOKUP(C88,BangGiaCuoc!$A$2:$C$9,3,0),0)</f>
        <v>65000</v>
      </c>
      <c r="G88" s="3" t="str">
        <f aca="false">IF(F88=0,"Lỗi mã (Cần kiểm tra)","Hợp lệ")</f>
        <v>Hợp lệ</v>
      </c>
      <c r="H88" s="3" t="s">
        <v>31</v>
      </c>
    </row>
    <row r="89" customFormat="false" ht="18.75" hidden="false" customHeight="true" outlineLevel="0" collapsed="false">
      <c r="A89" s="6" t="n">
        <v>88</v>
      </c>
      <c r="B89" s="5" t="s">
        <v>133</v>
      </c>
      <c r="C89" s="5" t="s">
        <v>16</v>
      </c>
      <c r="D89" s="5" t="s">
        <v>33</v>
      </c>
      <c r="E89" s="8" t="n">
        <v>4.4</v>
      </c>
      <c r="F89" s="6" t="n">
        <f aca="false">IFERROR(VLOOKUP(C89,BangGiaCuoc!$A$2:$C$9,3,0),0)</f>
        <v>65000</v>
      </c>
      <c r="G89" s="5" t="str">
        <f aca="false">IF(F89=0,"Lỗi mã (Cần kiểm tra)","Hợp lệ")</f>
        <v>Hợp lệ</v>
      </c>
      <c r="H89" s="5" t="s">
        <v>31</v>
      </c>
    </row>
    <row r="90" customFormat="false" ht="18.75" hidden="false" customHeight="true" outlineLevel="0" collapsed="false">
      <c r="A90" s="4" t="n">
        <v>89</v>
      </c>
      <c r="B90" s="3" t="s">
        <v>134</v>
      </c>
      <c r="C90" s="3" t="s">
        <v>10</v>
      </c>
      <c r="D90" s="3" t="s">
        <v>58</v>
      </c>
      <c r="E90" s="7" t="n">
        <v>7.1</v>
      </c>
      <c r="F90" s="4" t="n">
        <f aca="false">IFERROR(VLOOKUP(C90,BangGiaCuoc!$A$2:$C$9,3,0),0)</f>
        <v>32000</v>
      </c>
      <c r="G90" s="3" t="str">
        <f aca="false">IF(F90=0,"Lỗi mã (Cần kiểm tra)","Hợp lệ")</f>
        <v>Hợp lệ</v>
      </c>
      <c r="H90" s="3" t="s">
        <v>31</v>
      </c>
    </row>
    <row r="91" customFormat="false" ht="18.75" hidden="false" customHeight="true" outlineLevel="0" collapsed="false">
      <c r="A91" s="6" t="n">
        <v>90</v>
      </c>
      <c r="B91" s="5" t="s">
        <v>135</v>
      </c>
      <c r="C91" s="5" t="s">
        <v>8</v>
      </c>
      <c r="D91" s="5" t="s">
        <v>30</v>
      </c>
      <c r="E91" s="8" t="n">
        <v>7.1</v>
      </c>
      <c r="F91" s="6" t="n">
        <f aca="false">IFERROR(VLOOKUP(C91,BangGiaCuoc!$A$2:$C$9,3,0),0)</f>
        <v>40000</v>
      </c>
      <c r="G91" s="5" t="str">
        <f aca="false">IF(F91=0,"Lỗi mã (Cần kiểm tra)","Hợp lệ")</f>
        <v>Hợp lệ</v>
      </c>
      <c r="H91" s="5" t="s">
        <v>31</v>
      </c>
    </row>
    <row r="92" customFormat="false" ht="18.75" hidden="false" customHeight="true" outlineLevel="0" collapsed="false">
      <c r="A92" s="4" t="n">
        <v>91</v>
      </c>
      <c r="B92" s="3" t="s">
        <v>136</v>
      </c>
      <c r="C92" s="3" t="s">
        <v>8</v>
      </c>
      <c r="D92" s="3" t="s">
        <v>47</v>
      </c>
      <c r="E92" s="7" t="n">
        <v>8.3</v>
      </c>
      <c r="F92" s="4" t="n">
        <f aca="false">IFERROR(VLOOKUP(C92,BangGiaCuoc!$A$2:$C$9,3,0),0)</f>
        <v>40000</v>
      </c>
      <c r="G92" s="3" t="str">
        <f aca="false">IF(F92=0,"Lỗi mã (Cần kiểm tra)","Hợp lệ")</f>
        <v>Hợp lệ</v>
      </c>
      <c r="H92" s="3" t="s">
        <v>31</v>
      </c>
    </row>
    <row r="93" customFormat="false" ht="18.75" hidden="false" customHeight="true" outlineLevel="0" collapsed="false">
      <c r="A93" s="6" t="n">
        <v>92</v>
      </c>
      <c r="B93" s="5" t="s">
        <v>137</v>
      </c>
      <c r="C93" s="5" t="s">
        <v>14</v>
      </c>
      <c r="D93" s="5" t="s">
        <v>65</v>
      </c>
      <c r="E93" s="8" t="n">
        <v>14</v>
      </c>
      <c r="F93" s="6" t="n">
        <f aca="false">IFERROR(VLOOKUP(C93,BangGiaCuoc!$A$2:$C$9,3,0),0)</f>
        <v>75000</v>
      </c>
      <c r="G93" s="5" t="str">
        <f aca="false">IF(F93=0,"Lỗi mã (Cần kiểm tra)","Hợp lệ")</f>
        <v>Hợp lệ</v>
      </c>
      <c r="H93" s="5" t="s">
        <v>31</v>
      </c>
    </row>
    <row r="94" customFormat="false" ht="18.75" hidden="false" customHeight="true" outlineLevel="0" collapsed="false">
      <c r="A94" s="4" t="n">
        <v>93</v>
      </c>
      <c r="B94" s="3" t="s">
        <v>138</v>
      </c>
      <c r="C94" s="3" t="s">
        <v>8</v>
      </c>
      <c r="D94" s="3" t="s">
        <v>33</v>
      </c>
      <c r="E94" s="7" t="n">
        <v>5.9</v>
      </c>
      <c r="F94" s="4" t="n">
        <f aca="false">IFERROR(VLOOKUP(C94,BangGiaCuoc!$A$2:$C$9,3,0),0)</f>
        <v>40000</v>
      </c>
      <c r="G94" s="3" t="str">
        <f aca="false">IF(F94=0,"Lỗi mã (Cần kiểm tra)","Hợp lệ")</f>
        <v>Hợp lệ</v>
      </c>
      <c r="H94" s="3" t="s">
        <v>31</v>
      </c>
    </row>
    <row r="95" customFormat="false" ht="18.75" hidden="false" customHeight="true" outlineLevel="0" collapsed="false">
      <c r="A95" s="6" t="n">
        <v>94</v>
      </c>
      <c r="B95" s="5" t="s">
        <v>139</v>
      </c>
      <c r="C95" s="5" t="s">
        <v>10</v>
      </c>
      <c r="D95" s="5" t="s">
        <v>72</v>
      </c>
      <c r="E95" s="8" t="n">
        <v>12.6</v>
      </c>
      <c r="F95" s="6" t="n">
        <f aca="false">IFERROR(VLOOKUP(C95,BangGiaCuoc!$A$2:$C$9,3,0),0)</f>
        <v>32000</v>
      </c>
      <c r="G95" s="5" t="str">
        <f aca="false">IF(F95=0,"Lỗi mã (Cần kiểm tra)","Hợp lệ")</f>
        <v>Hợp lệ</v>
      </c>
      <c r="H95" s="5" t="s">
        <v>31</v>
      </c>
    </row>
    <row r="96" customFormat="false" ht="18.75" hidden="false" customHeight="true" outlineLevel="0" collapsed="false">
      <c r="A96" s="4" t="n">
        <v>95</v>
      </c>
      <c r="B96" s="3" t="s">
        <v>140</v>
      </c>
      <c r="C96" s="3" t="s">
        <v>14</v>
      </c>
      <c r="D96" s="3" t="s">
        <v>53</v>
      </c>
      <c r="E96" s="7" t="n">
        <v>14.8</v>
      </c>
      <c r="F96" s="4" t="n">
        <f aca="false">IFERROR(VLOOKUP(C96,BangGiaCuoc!$A$2:$C$9,3,0),0)</f>
        <v>75000</v>
      </c>
      <c r="G96" s="3" t="str">
        <f aca="false">IF(F96=0,"Lỗi mã (Cần kiểm tra)","Hợp lệ")</f>
        <v>Hợp lệ</v>
      </c>
      <c r="H96" s="3" t="s">
        <v>31</v>
      </c>
    </row>
    <row r="97" customFormat="false" ht="18.75" hidden="false" customHeight="true" outlineLevel="0" collapsed="false">
      <c r="A97" s="6" t="n">
        <v>96</v>
      </c>
      <c r="B97" s="5" t="s">
        <v>141</v>
      </c>
      <c r="C97" s="5" t="s">
        <v>5</v>
      </c>
      <c r="D97" s="5" t="s">
        <v>35</v>
      </c>
      <c r="E97" s="8" t="n">
        <v>4.8</v>
      </c>
      <c r="F97" s="6" t="n">
        <f aca="false">IFERROR(VLOOKUP(C97,BangGiaCuoc!$A$2:$C$9,3,0),0)</f>
        <v>22000</v>
      </c>
      <c r="G97" s="5" t="str">
        <f aca="false">IF(F97=0,"Lỗi mã (Cần kiểm tra)","Hợp lệ")</f>
        <v>Hợp lệ</v>
      </c>
      <c r="H97" s="5" t="s">
        <v>31</v>
      </c>
    </row>
    <row r="98" customFormat="false" ht="18.75" hidden="false" customHeight="true" outlineLevel="0" collapsed="false">
      <c r="A98" s="4" t="n">
        <v>97</v>
      </c>
      <c r="B98" s="3" t="s">
        <v>142</v>
      </c>
      <c r="C98" s="3" t="s">
        <v>8</v>
      </c>
      <c r="D98" s="3" t="s">
        <v>65</v>
      </c>
      <c r="E98" s="7" t="n">
        <v>4.3</v>
      </c>
      <c r="F98" s="4" t="n">
        <f aca="false">IFERROR(VLOOKUP(C98,BangGiaCuoc!$A$2:$C$9,3,0),0)</f>
        <v>40000</v>
      </c>
      <c r="G98" s="3" t="str">
        <f aca="false">IF(F98=0,"Lỗi mã (Cần kiểm tra)","Hợp lệ")</f>
        <v>Hợp lệ</v>
      </c>
      <c r="H98" s="3" t="s">
        <v>31</v>
      </c>
    </row>
    <row r="99" customFormat="false" ht="18.75" hidden="false" customHeight="true" outlineLevel="0" collapsed="false">
      <c r="A99" s="6" t="n">
        <v>98</v>
      </c>
      <c r="B99" s="5" t="s">
        <v>143</v>
      </c>
      <c r="C99" s="5" t="s">
        <v>8</v>
      </c>
      <c r="D99" s="5" t="s">
        <v>35</v>
      </c>
      <c r="E99" s="8" t="n">
        <v>2.8</v>
      </c>
      <c r="F99" s="6" t="n">
        <f aca="false">IFERROR(VLOOKUP(C99,BangGiaCuoc!$A$2:$C$9,3,0),0)</f>
        <v>40000</v>
      </c>
      <c r="G99" s="5" t="str">
        <f aca="false">IF(F99=0,"Lỗi mã (Cần kiểm tra)","Hợp lệ")</f>
        <v>Hợp lệ</v>
      </c>
      <c r="H99" s="5" t="s">
        <v>31</v>
      </c>
    </row>
    <row r="100" customFormat="false" ht="18.75" hidden="false" customHeight="true" outlineLevel="0" collapsed="false">
      <c r="A100" s="4" t="n">
        <v>99</v>
      </c>
      <c r="B100" s="3" t="s">
        <v>144</v>
      </c>
      <c r="C100" s="3" t="s">
        <v>14</v>
      </c>
      <c r="D100" s="3" t="s">
        <v>53</v>
      </c>
      <c r="E100" s="7" t="n">
        <v>3.6</v>
      </c>
      <c r="F100" s="4" t="n">
        <f aca="false">IFERROR(VLOOKUP(C100,BangGiaCuoc!$A$2:$C$9,3,0),0)</f>
        <v>75000</v>
      </c>
      <c r="G100" s="3" t="str">
        <f aca="false">IF(F100=0,"Lỗi mã (Cần kiểm tra)","Hợp lệ")</f>
        <v>Hợp lệ</v>
      </c>
      <c r="H100" s="3" t="s">
        <v>31</v>
      </c>
    </row>
    <row r="101" customFormat="false" ht="18.75" hidden="false" customHeight="true" outlineLevel="0" collapsed="false">
      <c r="A101" s="6" t="n">
        <v>100</v>
      </c>
      <c r="B101" s="5" t="s">
        <v>145</v>
      </c>
      <c r="C101" s="5" t="s">
        <v>16</v>
      </c>
      <c r="D101" s="5" t="s">
        <v>33</v>
      </c>
      <c r="E101" s="8" t="n">
        <v>10.5</v>
      </c>
      <c r="F101" s="6" t="n">
        <f aca="false">IFERROR(VLOOKUP(C101,BangGiaCuoc!$A$2:$C$9,3,0),0)</f>
        <v>65000</v>
      </c>
      <c r="G101" s="5" t="str">
        <f aca="false">IF(F101=0,"Lỗi mã (Cần kiểm tra)","Hợp lệ")</f>
        <v>Hợp lệ</v>
      </c>
      <c r="H101" s="5" t="s">
        <v>31</v>
      </c>
    </row>
    <row r="102" customFormat="false" ht="18.75" hidden="false" customHeight="true" outlineLevel="0" collapsed="false">
      <c r="A102" s="4" t="n">
        <v>101</v>
      </c>
      <c r="B102" s="3" t="s">
        <v>146</v>
      </c>
      <c r="C102" s="3" t="s">
        <v>14</v>
      </c>
      <c r="D102" s="3" t="s">
        <v>35</v>
      </c>
      <c r="E102" s="7" t="n">
        <v>7.6</v>
      </c>
      <c r="F102" s="4" t="n">
        <f aca="false">IFERROR(VLOOKUP(C102,BangGiaCuoc!$A$2:$C$9,3,0),0)</f>
        <v>75000</v>
      </c>
      <c r="G102" s="3" t="str">
        <f aca="false">IF(F102=0,"Lỗi mã (Cần kiểm tra)","Hợp lệ")</f>
        <v>Hợp lệ</v>
      </c>
      <c r="H102" s="3" t="s">
        <v>31</v>
      </c>
    </row>
    <row r="103" customFormat="false" ht="18.75" hidden="false" customHeight="true" outlineLevel="0" collapsed="false">
      <c r="A103" s="6" t="n">
        <v>102</v>
      </c>
      <c r="B103" s="5" t="s">
        <v>147</v>
      </c>
      <c r="C103" s="5" t="s">
        <v>5</v>
      </c>
      <c r="D103" s="5" t="s">
        <v>47</v>
      </c>
      <c r="E103" s="8" t="n">
        <v>9.7</v>
      </c>
      <c r="F103" s="6" t="n">
        <f aca="false">IFERROR(VLOOKUP(C103,BangGiaCuoc!$A$2:$C$9,3,0),0)</f>
        <v>22000</v>
      </c>
      <c r="G103" s="5" t="str">
        <f aca="false">IF(F103=0,"Lỗi mã (Cần kiểm tra)","Hợp lệ")</f>
        <v>Hợp lệ</v>
      </c>
      <c r="H103" s="5" t="s">
        <v>31</v>
      </c>
    </row>
    <row r="104" customFormat="false" ht="18.75" hidden="false" customHeight="true" outlineLevel="0" collapsed="false">
      <c r="A104" s="4" t="n">
        <v>103</v>
      </c>
      <c r="B104" s="3" t="s">
        <v>148</v>
      </c>
      <c r="C104" s="3" t="s">
        <v>14</v>
      </c>
      <c r="D104" s="3" t="s">
        <v>30</v>
      </c>
      <c r="E104" s="7" t="n">
        <v>0.6</v>
      </c>
      <c r="F104" s="4" t="n">
        <f aca="false">IFERROR(VLOOKUP(C104,BangGiaCuoc!$A$2:$C$9,3,0),0)</f>
        <v>75000</v>
      </c>
      <c r="G104" s="3" t="str">
        <f aca="false">IF(F104=0,"Lỗi mã (Cần kiểm tra)","Hợp lệ")</f>
        <v>Hợp lệ</v>
      </c>
      <c r="H104" s="3" t="s">
        <v>31</v>
      </c>
    </row>
    <row r="105" customFormat="false" ht="18.75" hidden="false" customHeight="true" outlineLevel="0" collapsed="false">
      <c r="A105" s="6" t="n">
        <v>104</v>
      </c>
      <c r="B105" s="5" t="s">
        <v>149</v>
      </c>
      <c r="C105" s="5" t="s">
        <v>10</v>
      </c>
      <c r="D105" s="5" t="s">
        <v>58</v>
      </c>
      <c r="E105" s="8" t="n">
        <v>2.8</v>
      </c>
      <c r="F105" s="6" t="n">
        <f aca="false">IFERROR(VLOOKUP(C105,BangGiaCuoc!$A$2:$C$9,3,0),0)</f>
        <v>32000</v>
      </c>
      <c r="G105" s="5" t="str">
        <f aca="false">IF(F105=0,"Lỗi mã (Cần kiểm tra)","Hợp lệ")</f>
        <v>Hợp lệ</v>
      </c>
      <c r="H105" s="5" t="s">
        <v>31</v>
      </c>
    </row>
    <row r="106" customFormat="false" ht="18.75" hidden="false" customHeight="true" outlineLevel="0" collapsed="false">
      <c r="A106" s="4" t="n">
        <v>105</v>
      </c>
      <c r="B106" s="3" t="s">
        <v>150</v>
      </c>
      <c r="C106" s="3" t="s">
        <v>151</v>
      </c>
      <c r="D106" s="3" t="s">
        <v>72</v>
      </c>
      <c r="E106" s="7" t="n">
        <v>8.5</v>
      </c>
      <c r="F106" s="4" t="n">
        <f aca="false">IFERROR(VLOOKUP(C106,BangGiaCuoc!$A$2:$C$9,3,0),0)</f>
        <v>0</v>
      </c>
      <c r="G106" s="3" t="str">
        <f aca="false">IF(F106=0,"Lỗi mã (Cần kiểm tra)","Hợp lệ")</f>
        <v>Lỗi mã (Cần kiểm tra)</v>
      </c>
      <c r="H106" s="3" t="s">
        <v>152</v>
      </c>
    </row>
    <row r="107" customFormat="false" ht="18.75" hidden="false" customHeight="true" outlineLevel="0" collapsed="false">
      <c r="A107" s="6" t="n">
        <v>106</v>
      </c>
      <c r="B107" s="5" t="s">
        <v>153</v>
      </c>
      <c r="C107" s="5" t="s">
        <v>18</v>
      </c>
      <c r="D107" s="5" t="s">
        <v>35</v>
      </c>
      <c r="E107" s="8" t="n">
        <v>0.6</v>
      </c>
      <c r="F107" s="6" t="n">
        <f aca="false">IFERROR(VLOOKUP(C107,BangGiaCuoc!$A$2:$C$9,3,0),0)</f>
        <v>90000</v>
      </c>
      <c r="G107" s="5" t="str">
        <f aca="false">IF(F107=0,"Lỗi mã (Cần kiểm tra)","Hợp lệ")</f>
        <v>Hợp lệ</v>
      </c>
      <c r="H107" s="5" t="s">
        <v>31</v>
      </c>
    </row>
    <row r="108" customFormat="false" ht="18.75" hidden="false" customHeight="true" outlineLevel="0" collapsed="false">
      <c r="A108" s="4" t="n">
        <v>107</v>
      </c>
      <c r="B108" s="3" t="s">
        <v>154</v>
      </c>
      <c r="C108" s="3" t="s">
        <v>8</v>
      </c>
      <c r="D108" s="3" t="s">
        <v>65</v>
      </c>
      <c r="E108" s="7" t="n">
        <v>8.4</v>
      </c>
      <c r="F108" s="4" t="n">
        <f aca="false">IFERROR(VLOOKUP(C108,BangGiaCuoc!$A$2:$C$9,3,0),0)</f>
        <v>40000</v>
      </c>
      <c r="G108" s="3" t="str">
        <f aca="false">IF(F108=0,"Lỗi mã (Cần kiểm tra)","Hợp lệ")</f>
        <v>Hợp lệ</v>
      </c>
      <c r="H108" s="3" t="s">
        <v>31</v>
      </c>
    </row>
    <row r="109" customFormat="false" ht="18.75" hidden="false" customHeight="true" outlineLevel="0" collapsed="false">
      <c r="A109" s="6" t="n">
        <v>108</v>
      </c>
      <c r="B109" s="5" t="s">
        <v>155</v>
      </c>
      <c r="C109" s="5" t="s">
        <v>16</v>
      </c>
      <c r="D109" s="5" t="s">
        <v>53</v>
      </c>
      <c r="E109" s="8" t="n">
        <v>8.5</v>
      </c>
      <c r="F109" s="6" t="n">
        <f aca="false">IFERROR(VLOOKUP(C109,BangGiaCuoc!$A$2:$C$9,3,0),0)</f>
        <v>65000</v>
      </c>
      <c r="G109" s="5" t="str">
        <f aca="false">IF(F109=0,"Lỗi mã (Cần kiểm tra)","Hợp lệ")</f>
        <v>Hợp lệ</v>
      </c>
      <c r="H109" s="5" t="s">
        <v>31</v>
      </c>
    </row>
    <row r="110" customFormat="false" ht="18.75" hidden="false" customHeight="true" outlineLevel="0" collapsed="false">
      <c r="A110" s="4" t="n">
        <v>109</v>
      </c>
      <c r="B110" s="3" t="s">
        <v>156</v>
      </c>
      <c r="C110" s="3" t="s">
        <v>18</v>
      </c>
      <c r="D110" s="3" t="s">
        <v>65</v>
      </c>
      <c r="E110" s="7" t="n">
        <v>1.1</v>
      </c>
      <c r="F110" s="4" t="n">
        <f aca="false">IFERROR(VLOOKUP(C110,BangGiaCuoc!$A$2:$C$9,3,0),0)</f>
        <v>90000</v>
      </c>
      <c r="G110" s="3" t="str">
        <f aca="false">IF(F110=0,"Lỗi mã (Cần kiểm tra)","Hợp lệ")</f>
        <v>Hợp lệ</v>
      </c>
      <c r="H110" s="3" t="s">
        <v>31</v>
      </c>
    </row>
    <row r="111" customFormat="false" ht="18.75" hidden="false" customHeight="true" outlineLevel="0" collapsed="false">
      <c r="A111" s="6" t="n">
        <v>110</v>
      </c>
      <c r="B111" s="5" t="s">
        <v>157</v>
      </c>
      <c r="C111" s="5" t="s">
        <v>16</v>
      </c>
      <c r="D111" s="5" t="s">
        <v>30</v>
      </c>
      <c r="E111" s="8" t="n">
        <v>13.5</v>
      </c>
      <c r="F111" s="6" t="n">
        <f aca="false">IFERROR(VLOOKUP(C111,BangGiaCuoc!$A$2:$C$9,3,0),0)</f>
        <v>65000</v>
      </c>
      <c r="G111" s="5" t="str">
        <f aca="false">IF(F111=0,"Lỗi mã (Cần kiểm tra)","Hợp lệ")</f>
        <v>Hợp lệ</v>
      </c>
      <c r="H111" s="5" t="s">
        <v>31</v>
      </c>
    </row>
    <row r="112" customFormat="false" ht="18.75" hidden="false" customHeight="true" outlineLevel="0" collapsed="false">
      <c r="A112" s="4" t="n">
        <v>111</v>
      </c>
      <c r="B112" s="3" t="s">
        <v>158</v>
      </c>
      <c r="C112" s="3" t="s">
        <v>12</v>
      </c>
      <c r="D112" s="3" t="s">
        <v>33</v>
      </c>
      <c r="E112" s="7" t="n">
        <v>10.2</v>
      </c>
      <c r="F112" s="4" t="n">
        <f aca="false">IFERROR(VLOOKUP(C112,BangGiaCuoc!$A$2:$C$9,3,0),0)</f>
        <v>55000</v>
      </c>
      <c r="G112" s="3" t="str">
        <f aca="false">IF(F112=0,"Lỗi mã (Cần kiểm tra)","Hợp lệ")</f>
        <v>Hợp lệ</v>
      </c>
      <c r="H112" s="3" t="s">
        <v>31</v>
      </c>
    </row>
    <row r="113" customFormat="false" ht="18.75" hidden="false" customHeight="true" outlineLevel="0" collapsed="false">
      <c r="A113" s="6" t="n">
        <v>112</v>
      </c>
      <c r="B113" s="5" t="s">
        <v>159</v>
      </c>
      <c r="C113" s="5" t="s">
        <v>16</v>
      </c>
      <c r="D113" s="5" t="s">
        <v>35</v>
      </c>
      <c r="E113" s="8" t="n">
        <v>13.3</v>
      </c>
      <c r="F113" s="6" t="n">
        <f aca="false">IFERROR(VLOOKUP(C113,BangGiaCuoc!$A$2:$C$9,3,0),0)</f>
        <v>65000</v>
      </c>
      <c r="G113" s="5" t="str">
        <f aca="false">IF(F113=0,"Lỗi mã (Cần kiểm tra)","Hợp lệ")</f>
        <v>Hợp lệ</v>
      </c>
      <c r="H113" s="5" t="s">
        <v>31</v>
      </c>
    </row>
    <row r="114" customFormat="false" ht="18.75" hidden="false" customHeight="true" outlineLevel="0" collapsed="false">
      <c r="A114" s="4" t="n">
        <v>113</v>
      </c>
      <c r="B114" s="3" t="s">
        <v>160</v>
      </c>
      <c r="C114" s="3" t="s">
        <v>18</v>
      </c>
      <c r="D114" s="3" t="s">
        <v>53</v>
      </c>
      <c r="E114" s="7" t="n">
        <v>11.4</v>
      </c>
      <c r="F114" s="4" t="n">
        <f aca="false">IFERROR(VLOOKUP(C114,BangGiaCuoc!$A$2:$C$9,3,0),0)</f>
        <v>90000</v>
      </c>
      <c r="G114" s="3" t="str">
        <f aca="false">IF(F114=0,"Lỗi mã (Cần kiểm tra)","Hợp lệ")</f>
        <v>Hợp lệ</v>
      </c>
      <c r="H114" s="3" t="s">
        <v>31</v>
      </c>
    </row>
    <row r="115" customFormat="false" ht="18.75" hidden="false" customHeight="true" outlineLevel="0" collapsed="false">
      <c r="A115" s="6" t="n">
        <v>114</v>
      </c>
      <c r="B115" s="5" t="s">
        <v>161</v>
      </c>
      <c r="C115" s="5" t="s">
        <v>12</v>
      </c>
      <c r="D115" s="5" t="s">
        <v>65</v>
      </c>
      <c r="E115" s="8" t="n">
        <v>14.7</v>
      </c>
      <c r="F115" s="6" t="n">
        <f aca="false">IFERROR(VLOOKUP(C115,BangGiaCuoc!$A$2:$C$9,3,0),0)</f>
        <v>55000</v>
      </c>
      <c r="G115" s="5" t="str">
        <f aca="false">IF(F115=0,"Lỗi mã (Cần kiểm tra)","Hợp lệ")</f>
        <v>Hợp lệ</v>
      </c>
      <c r="H115" s="5" t="s">
        <v>31</v>
      </c>
    </row>
    <row r="116" customFormat="false" ht="18.75" hidden="false" customHeight="true" outlineLevel="0" collapsed="false">
      <c r="A116" s="4" t="n">
        <v>115</v>
      </c>
      <c r="B116" s="3" t="s">
        <v>162</v>
      </c>
      <c r="C116" s="3" t="s">
        <v>10</v>
      </c>
      <c r="D116" s="3" t="s">
        <v>44</v>
      </c>
      <c r="E116" s="7" t="n">
        <v>0.9</v>
      </c>
      <c r="F116" s="4" t="n">
        <f aca="false">IFERROR(VLOOKUP(C116,BangGiaCuoc!$A$2:$C$9,3,0),0)</f>
        <v>32000</v>
      </c>
      <c r="G116" s="3" t="str">
        <f aca="false">IF(F116=0,"Lỗi mã (Cần kiểm tra)","Hợp lệ")</f>
        <v>Hợp lệ</v>
      </c>
      <c r="H116" s="3" t="s">
        <v>31</v>
      </c>
    </row>
    <row r="117" customFormat="false" ht="18.75" hidden="false" customHeight="true" outlineLevel="0" collapsed="false">
      <c r="A117" s="6" t="n">
        <v>116</v>
      </c>
      <c r="B117" s="5" t="s">
        <v>163</v>
      </c>
      <c r="C117" s="5" t="s">
        <v>16</v>
      </c>
      <c r="D117" s="5" t="s">
        <v>44</v>
      </c>
      <c r="E117" s="8" t="n">
        <v>12.1</v>
      </c>
      <c r="F117" s="6" t="n">
        <f aca="false">IFERROR(VLOOKUP(C117,BangGiaCuoc!$A$2:$C$9,3,0),0)</f>
        <v>65000</v>
      </c>
      <c r="G117" s="5" t="str">
        <f aca="false">IF(F117=0,"Lỗi mã (Cần kiểm tra)","Hợp lệ")</f>
        <v>Hợp lệ</v>
      </c>
      <c r="H117" s="5" t="s">
        <v>31</v>
      </c>
    </row>
    <row r="118" customFormat="false" ht="18.75" hidden="false" customHeight="true" outlineLevel="0" collapsed="false">
      <c r="A118" s="4" t="n">
        <v>117</v>
      </c>
      <c r="B118" s="3" t="s">
        <v>164</v>
      </c>
      <c r="C118" s="3" t="s">
        <v>12</v>
      </c>
      <c r="D118" s="3" t="s">
        <v>58</v>
      </c>
      <c r="E118" s="7" t="n">
        <v>2.8</v>
      </c>
      <c r="F118" s="4" t="n">
        <f aca="false">IFERROR(VLOOKUP(C118,BangGiaCuoc!$A$2:$C$9,3,0),0)</f>
        <v>55000</v>
      </c>
      <c r="G118" s="3" t="str">
        <f aca="false">IF(F118=0,"Lỗi mã (Cần kiểm tra)","Hợp lệ")</f>
        <v>Hợp lệ</v>
      </c>
      <c r="H118" s="3" t="s">
        <v>31</v>
      </c>
    </row>
    <row r="119" customFormat="false" ht="18.75" hidden="false" customHeight="true" outlineLevel="0" collapsed="false">
      <c r="A119" s="6" t="n">
        <v>118</v>
      </c>
      <c r="B119" s="5" t="s">
        <v>165</v>
      </c>
      <c r="C119" s="5" t="s">
        <v>8</v>
      </c>
      <c r="D119" s="5" t="s">
        <v>44</v>
      </c>
      <c r="E119" s="8" t="n">
        <v>13.1</v>
      </c>
      <c r="F119" s="6" t="n">
        <f aca="false">IFERROR(VLOOKUP(C119,BangGiaCuoc!$A$2:$C$9,3,0),0)</f>
        <v>40000</v>
      </c>
      <c r="G119" s="5" t="str">
        <f aca="false">IF(F119=0,"Lỗi mã (Cần kiểm tra)","Hợp lệ")</f>
        <v>Hợp lệ</v>
      </c>
      <c r="H119" s="5" t="s">
        <v>31</v>
      </c>
    </row>
    <row r="120" customFormat="false" ht="18.75" hidden="false" customHeight="true" outlineLevel="0" collapsed="false">
      <c r="A120" s="4" t="n">
        <v>119</v>
      </c>
      <c r="B120" s="3" t="s">
        <v>166</v>
      </c>
      <c r="C120" s="3" t="s">
        <v>20</v>
      </c>
      <c r="D120" s="3" t="s">
        <v>33</v>
      </c>
      <c r="E120" s="7" t="n">
        <v>3.4</v>
      </c>
      <c r="F120" s="4" t="n">
        <f aca="false">IFERROR(VLOOKUP(C120,BangGiaCuoc!$A$2:$C$9,3,0),0)</f>
        <v>110000</v>
      </c>
      <c r="G120" s="3" t="str">
        <f aca="false">IF(F120=0,"Lỗi mã (Cần kiểm tra)","Hợp lệ")</f>
        <v>Hợp lệ</v>
      </c>
      <c r="H120" s="3" t="s">
        <v>31</v>
      </c>
    </row>
    <row r="121" customFormat="false" ht="18.75" hidden="false" customHeight="true" outlineLevel="0" collapsed="false">
      <c r="A121" s="6" t="n">
        <v>120</v>
      </c>
      <c r="B121" s="5" t="s">
        <v>167</v>
      </c>
      <c r="C121" s="5" t="s">
        <v>20</v>
      </c>
      <c r="D121" s="5" t="s">
        <v>49</v>
      </c>
      <c r="E121" s="8" t="n">
        <v>4.9</v>
      </c>
      <c r="F121" s="6" t="n">
        <f aca="false">IFERROR(VLOOKUP(C121,BangGiaCuoc!$A$2:$C$9,3,0),0)</f>
        <v>110000</v>
      </c>
      <c r="G121" s="5" t="str">
        <f aca="false">IF(F121=0,"Lỗi mã (Cần kiểm tra)","Hợp lệ")</f>
        <v>Hợp lệ</v>
      </c>
      <c r="H121" s="5" t="s">
        <v>31</v>
      </c>
    </row>
    <row r="122" customFormat="false" ht="18.75" hidden="false" customHeight="true" outlineLevel="0" collapsed="false">
      <c r="A122" s="4" t="n">
        <v>121</v>
      </c>
      <c r="B122" s="3" t="s">
        <v>168</v>
      </c>
      <c r="C122" s="3" t="s">
        <v>12</v>
      </c>
      <c r="D122" s="3" t="s">
        <v>33</v>
      </c>
      <c r="E122" s="7" t="n">
        <v>0.8</v>
      </c>
      <c r="F122" s="4" t="n">
        <f aca="false">IFERROR(VLOOKUP(C122,BangGiaCuoc!$A$2:$C$9,3,0),0)</f>
        <v>55000</v>
      </c>
      <c r="G122" s="3" t="str">
        <f aca="false">IF(F122=0,"Lỗi mã (Cần kiểm tra)","Hợp lệ")</f>
        <v>Hợp lệ</v>
      </c>
      <c r="H122" s="3" t="s">
        <v>31</v>
      </c>
    </row>
    <row r="123" customFormat="false" ht="18.75" hidden="false" customHeight="true" outlineLevel="0" collapsed="false">
      <c r="A123" s="6" t="n">
        <v>122</v>
      </c>
      <c r="B123" s="5" t="s">
        <v>169</v>
      </c>
      <c r="C123" s="5" t="s">
        <v>12</v>
      </c>
      <c r="D123" s="5" t="s">
        <v>44</v>
      </c>
      <c r="E123" s="8" t="n">
        <v>5.3</v>
      </c>
      <c r="F123" s="6" t="n">
        <f aca="false">IFERROR(VLOOKUP(C123,BangGiaCuoc!$A$2:$C$9,3,0),0)</f>
        <v>55000</v>
      </c>
      <c r="G123" s="5" t="str">
        <f aca="false">IF(F123=0,"Lỗi mã (Cần kiểm tra)","Hợp lệ")</f>
        <v>Hợp lệ</v>
      </c>
      <c r="H123" s="5" t="s">
        <v>31</v>
      </c>
    </row>
    <row r="124" customFormat="false" ht="18.75" hidden="false" customHeight="true" outlineLevel="0" collapsed="false">
      <c r="A124" s="4" t="n">
        <v>123</v>
      </c>
      <c r="B124" s="3" t="s">
        <v>170</v>
      </c>
      <c r="C124" s="3" t="s">
        <v>8</v>
      </c>
      <c r="D124" s="3" t="s">
        <v>58</v>
      </c>
      <c r="E124" s="7" t="n">
        <v>5.6</v>
      </c>
      <c r="F124" s="4" t="n">
        <f aca="false">IFERROR(VLOOKUP(C124,BangGiaCuoc!$A$2:$C$9,3,0),0)</f>
        <v>40000</v>
      </c>
      <c r="G124" s="3" t="str">
        <f aca="false">IF(F124=0,"Lỗi mã (Cần kiểm tra)","Hợp lệ")</f>
        <v>Hợp lệ</v>
      </c>
      <c r="H124" s="3" t="s">
        <v>31</v>
      </c>
    </row>
    <row r="125" customFormat="false" ht="18.75" hidden="false" customHeight="true" outlineLevel="0" collapsed="false">
      <c r="A125" s="6" t="n">
        <v>124</v>
      </c>
      <c r="B125" s="5" t="s">
        <v>171</v>
      </c>
      <c r="C125" s="5" t="s">
        <v>18</v>
      </c>
      <c r="D125" s="5" t="s">
        <v>35</v>
      </c>
      <c r="E125" s="8" t="n">
        <v>5.3</v>
      </c>
      <c r="F125" s="6" t="n">
        <f aca="false">IFERROR(VLOOKUP(C125,BangGiaCuoc!$A$2:$C$9,3,0),0)</f>
        <v>90000</v>
      </c>
      <c r="G125" s="5" t="str">
        <f aca="false">IF(F125=0,"Lỗi mã (Cần kiểm tra)","Hợp lệ")</f>
        <v>Hợp lệ</v>
      </c>
      <c r="H125" s="5" t="s">
        <v>31</v>
      </c>
    </row>
    <row r="126" customFormat="false" ht="18.75" hidden="false" customHeight="true" outlineLevel="0" collapsed="false">
      <c r="A126" s="4" t="n">
        <v>125</v>
      </c>
      <c r="B126" s="3" t="s">
        <v>172</v>
      </c>
      <c r="C126" s="3" t="s">
        <v>5</v>
      </c>
      <c r="D126" s="3" t="s">
        <v>47</v>
      </c>
      <c r="E126" s="7" t="n">
        <v>13.2</v>
      </c>
      <c r="F126" s="4" t="n">
        <f aca="false">IFERROR(VLOOKUP(C126,BangGiaCuoc!$A$2:$C$9,3,0),0)</f>
        <v>22000</v>
      </c>
      <c r="G126" s="3" t="str">
        <f aca="false">IF(F126=0,"Lỗi mã (Cần kiểm tra)","Hợp lệ")</f>
        <v>Hợp lệ</v>
      </c>
      <c r="H126" s="3" t="s">
        <v>31</v>
      </c>
    </row>
    <row r="127" customFormat="false" ht="18.75" hidden="false" customHeight="true" outlineLevel="0" collapsed="false">
      <c r="A127" s="6" t="n">
        <v>126</v>
      </c>
      <c r="B127" s="5" t="s">
        <v>173</v>
      </c>
      <c r="C127" s="5" t="s">
        <v>14</v>
      </c>
      <c r="D127" s="5" t="s">
        <v>65</v>
      </c>
      <c r="E127" s="8" t="n">
        <v>8.9</v>
      </c>
      <c r="F127" s="6" t="n">
        <f aca="false">IFERROR(VLOOKUP(C127,BangGiaCuoc!$A$2:$C$9,3,0),0)</f>
        <v>75000</v>
      </c>
      <c r="G127" s="5" t="str">
        <f aca="false">IF(F127=0,"Lỗi mã (Cần kiểm tra)","Hợp lệ")</f>
        <v>Hợp lệ</v>
      </c>
      <c r="H127" s="5" t="s">
        <v>31</v>
      </c>
    </row>
    <row r="128" customFormat="false" ht="18.75" hidden="false" customHeight="true" outlineLevel="0" collapsed="false">
      <c r="A128" s="4" t="n">
        <v>127</v>
      </c>
      <c r="B128" s="3" t="s">
        <v>174</v>
      </c>
      <c r="C128" s="3" t="s">
        <v>14</v>
      </c>
      <c r="D128" s="3" t="s">
        <v>30</v>
      </c>
      <c r="E128" s="7" t="n">
        <v>2.1</v>
      </c>
      <c r="F128" s="4" t="n">
        <f aca="false">IFERROR(VLOOKUP(C128,BangGiaCuoc!$A$2:$C$9,3,0),0)</f>
        <v>75000</v>
      </c>
      <c r="G128" s="3" t="str">
        <f aca="false">IF(F128=0,"Lỗi mã (Cần kiểm tra)","Hợp lệ")</f>
        <v>Hợp lệ</v>
      </c>
      <c r="H128" s="3" t="s">
        <v>31</v>
      </c>
    </row>
    <row r="129" customFormat="false" ht="18.75" hidden="false" customHeight="true" outlineLevel="0" collapsed="false">
      <c r="A129" s="6" t="n">
        <v>128</v>
      </c>
      <c r="B129" s="5" t="s">
        <v>175</v>
      </c>
      <c r="C129" s="5" t="s">
        <v>18</v>
      </c>
      <c r="D129" s="5" t="s">
        <v>49</v>
      </c>
      <c r="E129" s="8" t="n">
        <v>11.1</v>
      </c>
      <c r="F129" s="6" t="n">
        <f aca="false">IFERROR(VLOOKUP(C129,BangGiaCuoc!$A$2:$C$9,3,0),0)</f>
        <v>90000</v>
      </c>
      <c r="G129" s="5" t="str">
        <f aca="false">IF(F129=0,"Lỗi mã (Cần kiểm tra)","Hợp lệ")</f>
        <v>Hợp lệ</v>
      </c>
      <c r="H129" s="5" t="s">
        <v>31</v>
      </c>
    </row>
    <row r="130" customFormat="false" ht="18.75" hidden="false" customHeight="true" outlineLevel="0" collapsed="false">
      <c r="A130" s="4" t="n">
        <v>129</v>
      </c>
      <c r="B130" s="3" t="s">
        <v>176</v>
      </c>
      <c r="C130" s="3" t="s">
        <v>16</v>
      </c>
      <c r="D130" s="3" t="s">
        <v>44</v>
      </c>
      <c r="E130" s="7" t="n">
        <v>9.3</v>
      </c>
      <c r="F130" s="4" t="n">
        <f aca="false">IFERROR(VLOOKUP(C130,BangGiaCuoc!$A$2:$C$9,3,0),0)</f>
        <v>65000</v>
      </c>
      <c r="G130" s="3" t="str">
        <f aca="false">IF(F130=0,"Lỗi mã (Cần kiểm tra)","Hợp lệ")</f>
        <v>Hợp lệ</v>
      </c>
      <c r="H130" s="3" t="s">
        <v>31</v>
      </c>
    </row>
    <row r="131" customFormat="false" ht="18.75" hidden="false" customHeight="true" outlineLevel="0" collapsed="false">
      <c r="A131" s="6" t="n">
        <v>130</v>
      </c>
      <c r="B131" s="5" t="s">
        <v>177</v>
      </c>
      <c r="C131" s="5" t="s">
        <v>8</v>
      </c>
      <c r="D131" s="5" t="s">
        <v>44</v>
      </c>
      <c r="E131" s="8" t="n">
        <v>13.5</v>
      </c>
      <c r="F131" s="6" t="n">
        <f aca="false">IFERROR(VLOOKUP(C131,BangGiaCuoc!$A$2:$C$9,3,0),0)</f>
        <v>40000</v>
      </c>
      <c r="G131" s="5" t="str">
        <f aca="false">IF(F131=0,"Lỗi mã (Cần kiểm tra)","Hợp lệ")</f>
        <v>Hợp lệ</v>
      </c>
      <c r="H131" s="5" t="s">
        <v>31</v>
      </c>
    </row>
    <row r="132" customFormat="false" ht="18.75" hidden="false" customHeight="true" outlineLevel="0" collapsed="false">
      <c r="A132" s="4" t="n">
        <v>131</v>
      </c>
      <c r="B132" s="3" t="s">
        <v>178</v>
      </c>
      <c r="C132" s="3" t="s">
        <v>12</v>
      </c>
      <c r="D132" s="3" t="s">
        <v>58</v>
      </c>
      <c r="E132" s="7" t="n">
        <v>1.1</v>
      </c>
      <c r="F132" s="4" t="n">
        <f aca="false">IFERROR(VLOOKUP(C132,BangGiaCuoc!$A$2:$C$9,3,0),0)</f>
        <v>55000</v>
      </c>
      <c r="G132" s="3" t="str">
        <f aca="false">IF(F132=0,"Lỗi mã (Cần kiểm tra)","Hợp lệ")</f>
        <v>Hợp lệ</v>
      </c>
      <c r="H132" s="3" t="s">
        <v>31</v>
      </c>
    </row>
    <row r="133" customFormat="false" ht="18.75" hidden="false" customHeight="true" outlineLevel="0" collapsed="false">
      <c r="A133" s="6" t="n">
        <v>132</v>
      </c>
      <c r="B133" s="5" t="s">
        <v>179</v>
      </c>
      <c r="C133" s="5" t="s">
        <v>18</v>
      </c>
      <c r="D133" s="5" t="s">
        <v>30</v>
      </c>
      <c r="E133" s="8" t="n">
        <v>8</v>
      </c>
      <c r="F133" s="6" t="n">
        <f aca="false">IFERROR(VLOOKUP(C133,BangGiaCuoc!$A$2:$C$9,3,0),0)</f>
        <v>90000</v>
      </c>
      <c r="G133" s="5" t="str">
        <f aca="false">IF(F133=0,"Lỗi mã (Cần kiểm tra)","Hợp lệ")</f>
        <v>Hợp lệ</v>
      </c>
      <c r="H133" s="5" t="s">
        <v>31</v>
      </c>
    </row>
    <row r="134" customFormat="false" ht="18.75" hidden="false" customHeight="true" outlineLevel="0" collapsed="false">
      <c r="A134" s="4" t="n">
        <v>133</v>
      </c>
      <c r="B134" s="3" t="s">
        <v>180</v>
      </c>
      <c r="C134" s="3" t="s">
        <v>12</v>
      </c>
      <c r="D134" s="3" t="s">
        <v>49</v>
      </c>
      <c r="E134" s="7" t="n">
        <v>6.8</v>
      </c>
      <c r="F134" s="4" t="n">
        <f aca="false">IFERROR(VLOOKUP(C134,BangGiaCuoc!$A$2:$C$9,3,0),0)</f>
        <v>55000</v>
      </c>
      <c r="G134" s="3" t="str">
        <f aca="false">IF(F134=0,"Lỗi mã (Cần kiểm tra)","Hợp lệ")</f>
        <v>Hợp lệ</v>
      </c>
      <c r="H134" s="3" t="s">
        <v>31</v>
      </c>
    </row>
    <row r="135" customFormat="false" ht="18.75" hidden="false" customHeight="true" outlineLevel="0" collapsed="false">
      <c r="A135" s="6" t="n">
        <v>134</v>
      </c>
      <c r="B135" s="5" t="s">
        <v>181</v>
      </c>
      <c r="C135" s="5" t="s">
        <v>16</v>
      </c>
      <c r="D135" s="5" t="s">
        <v>53</v>
      </c>
      <c r="E135" s="8" t="n">
        <v>5.1</v>
      </c>
      <c r="F135" s="6" t="n">
        <f aca="false">IFERROR(VLOOKUP(C135,BangGiaCuoc!$A$2:$C$9,3,0),0)</f>
        <v>65000</v>
      </c>
      <c r="G135" s="5" t="str">
        <f aca="false">IF(F135=0,"Lỗi mã (Cần kiểm tra)","Hợp lệ")</f>
        <v>Hợp lệ</v>
      </c>
      <c r="H135" s="5" t="s">
        <v>31</v>
      </c>
    </row>
    <row r="136" customFormat="false" ht="18.75" hidden="false" customHeight="true" outlineLevel="0" collapsed="false">
      <c r="A136" s="4" t="n">
        <v>135</v>
      </c>
      <c r="B136" s="3" t="s">
        <v>182</v>
      </c>
      <c r="C136" s="3" t="s">
        <v>8</v>
      </c>
      <c r="D136" s="3" t="s">
        <v>58</v>
      </c>
      <c r="E136" s="7" t="n">
        <v>7.9</v>
      </c>
      <c r="F136" s="4" t="n">
        <f aca="false">IFERROR(VLOOKUP(C136,BangGiaCuoc!$A$2:$C$9,3,0),0)</f>
        <v>40000</v>
      </c>
      <c r="G136" s="3" t="str">
        <f aca="false">IF(F136=0,"Lỗi mã (Cần kiểm tra)","Hợp lệ")</f>
        <v>Hợp lệ</v>
      </c>
      <c r="H136" s="3" t="s">
        <v>31</v>
      </c>
    </row>
    <row r="137" customFormat="false" ht="18.75" hidden="false" customHeight="true" outlineLevel="0" collapsed="false">
      <c r="A137" s="6" t="n">
        <v>136</v>
      </c>
      <c r="B137" s="5" t="s">
        <v>183</v>
      </c>
      <c r="C137" s="5" t="s">
        <v>18</v>
      </c>
      <c r="D137" s="5" t="s">
        <v>49</v>
      </c>
      <c r="E137" s="8" t="n">
        <v>6.3</v>
      </c>
      <c r="F137" s="6" t="n">
        <f aca="false">IFERROR(VLOOKUP(C137,BangGiaCuoc!$A$2:$C$9,3,0),0)</f>
        <v>90000</v>
      </c>
      <c r="G137" s="5" t="str">
        <f aca="false">IF(F137=0,"Lỗi mã (Cần kiểm tra)","Hợp lệ")</f>
        <v>Hợp lệ</v>
      </c>
      <c r="H137" s="5" t="s">
        <v>31</v>
      </c>
    </row>
    <row r="138" customFormat="false" ht="18.75" hidden="false" customHeight="true" outlineLevel="0" collapsed="false">
      <c r="A138" s="4" t="n">
        <v>137</v>
      </c>
      <c r="B138" s="3" t="s">
        <v>184</v>
      </c>
      <c r="C138" s="3" t="s">
        <v>14</v>
      </c>
      <c r="D138" s="3" t="s">
        <v>35</v>
      </c>
      <c r="E138" s="7" t="n">
        <v>2.3</v>
      </c>
      <c r="F138" s="4" t="n">
        <f aca="false">IFERROR(VLOOKUP(C138,BangGiaCuoc!$A$2:$C$9,3,0),0)</f>
        <v>75000</v>
      </c>
      <c r="G138" s="3" t="str">
        <f aca="false">IF(F138=0,"Lỗi mã (Cần kiểm tra)","Hợp lệ")</f>
        <v>Hợp lệ</v>
      </c>
      <c r="H138" s="3" t="s">
        <v>31</v>
      </c>
    </row>
    <row r="139" customFormat="false" ht="18.75" hidden="false" customHeight="true" outlineLevel="0" collapsed="false">
      <c r="A139" s="6" t="n">
        <v>138</v>
      </c>
      <c r="B139" s="5" t="s">
        <v>185</v>
      </c>
      <c r="C139" s="5" t="s">
        <v>18</v>
      </c>
      <c r="D139" s="5" t="s">
        <v>44</v>
      </c>
      <c r="E139" s="8" t="n">
        <v>10.3</v>
      </c>
      <c r="F139" s="6" t="n">
        <f aca="false">IFERROR(VLOOKUP(C139,BangGiaCuoc!$A$2:$C$9,3,0),0)</f>
        <v>90000</v>
      </c>
      <c r="G139" s="5" t="str">
        <f aca="false">IF(F139=0,"Lỗi mã (Cần kiểm tra)","Hợp lệ")</f>
        <v>Hợp lệ</v>
      </c>
      <c r="H139" s="5" t="s">
        <v>31</v>
      </c>
    </row>
    <row r="140" customFormat="false" ht="18.75" hidden="false" customHeight="true" outlineLevel="0" collapsed="false">
      <c r="A140" s="4" t="n">
        <v>139</v>
      </c>
      <c r="B140" s="3" t="s">
        <v>186</v>
      </c>
      <c r="C140" s="3" t="s">
        <v>10</v>
      </c>
      <c r="D140" s="3" t="s">
        <v>53</v>
      </c>
      <c r="E140" s="7" t="n">
        <v>8.8</v>
      </c>
      <c r="F140" s="4" t="n">
        <f aca="false">IFERROR(VLOOKUP(C140,BangGiaCuoc!$A$2:$C$9,3,0),0)</f>
        <v>32000</v>
      </c>
      <c r="G140" s="3" t="str">
        <f aca="false">IF(F140=0,"Lỗi mã (Cần kiểm tra)","Hợp lệ")</f>
        <v>Hợp lệ</v>
      </c>
      <c r="H140" s="3" t="s">
        <v>31</v>
      </c>
    </row>
    <row r="141" customFormat="false" ht="18.75" hidden="false" customHeight="true" outlineLevel="0" collapsed="false">
      <c r="A141" s="6" t="n">
        <v>140</v>
      </c>
      <c r="B141" s="5" t="s">
        <v>187</v>
      </c>
      <c r="C141" s="5" t="s">
        <v>18</v>
      </c>
      <c r="D141" s="5" t="s">
        <v>35</v>
      </c>
      <c r="E141" s="8" t="n">
        <v>12.6</v>
      </c>
      <c r="F141" s="6" t="n">
        <f aca="false">IFERROR(VLOOKUP(C141,BangGiaCuoc!$A$2:$C$9,3,0),0)</f>
        <v>90000</v>
      </c>
      <c r="G141" s="5" t="str">
        <f aca="false">IF(F141=0,"Lỗi mã (Cần kiểm tra)","Hợp lệ")</f>
        <v>Hợp lệ</v>
      </c>
      <c r="H141" s="5" t="s">
        <v>31</v>
      </c>
    </row>
    <row r="142" customFormat="false" ht="18.75" hidden="false" customHeight="true" outlineLevel="0" collapsed="false">
      <c r="A142" s="4" t="n">
        <v>141</v>
      </c>
      <c r="B142" s="3" t="s">
        <v>188</v>
      </c>
      <c r="C142" s="3" t="s">
        <v>14</v>
      </c>
      <c r="D142" s="3" t="s">
        <v>58</v>
      </c>
      <c r="E142" s="7" t="n">
        <v>3.5</v>
      </c>
      <c r="F142" s="4" t="n">
        <f aca="false">IFERROR(VLOOKUP(C142,BangGiaCuoc!$A$2:$C$9,3,0),0)</f>
        <v>75000</v>
      </c>
      <c r="G142" s="3" t="str">
        <f aca="false">IF(F142=0,"Lỗi mã (Cần kiểm tra)","Hợp lệ")</f>
        <v>Hợp lệ</v>
      </c>
      <c r="H142" s="3" t="s">
        <v>31</v>
      </c>
    </row>
    <row r="143" customFormat="false" ht="18.75" hidden="false" customHeight="true" outlineLevel="0" collapsed="false">
      <c r="A143" s="6" t="n">
        <v>142</v>
      </c>
      <c r="B143" s="5" t="s">
        <v>189</v>
      </c>
      <c r="C143" s="5" t="s">
        <v>16</v>
      </c>
      <c r="D143" s="5" t="s">
        <v>72</v>
      </c>
      <c r="E143" s="8" t="n">
        <v>6.9</v>
      </c>
      <c r="F143" s="6" t="n">
        <f aca="false">IFERROR(VLOOKUP(C143,BangGiaCuoc!$A$2:$C$9,3,0),0)</f>
        <v>65000</v>
      </c>
      <c r="G143" s="5" t="str">
        <f aca="false">IF(F143=0,"Lỗi mã (Cần kiểm tra)","Hợp lệ")</f>
        <v>Hợp lệ</v>
      </c>
      <c r="H143" s="5" t="s">
        <v>31</v>
      </c>
    </row>
    <row r="144" customFormat="false" ht="18.75" hidden="false" customHeight="true" outlineLevel="0" collapsed="false">
      <c r="A144" s="4" t="n">
        <v>143</v>
      </c>
      <c r="B144" s="3" t="s">
        <v>190</v>
      </c>
      <c r="C144" s="3" t="s">
        <v>12</v>
      </c>
      <c r="D144" s="3" t="s">
        <v>35</v>
      </c>
      <c r="E144" s="7" t="n">
        <v>7.4</v>
      </c>
      <c r="F144" s="4" t="n">
        <f aca="false">IFERROR(VLOOKUP(C144,BangGiaCuoc!$A$2:$C$9,3,0),0)</f>
        <v>55000</v>
      </c>
      <c r="G144" s="3" t="str">
        <f aca="false">IF(F144=0,"Lỗi mã (Cần kiểm tra)","Hợp lệ")</f>
        <v>Hợp lệ</v>
      </c>
      <c r="H144" s="3" t="s">
        <v>31</v>
      </c>
    </row>
    <row r="145" customFormat="false" ht="18.75" hidden="false" customHeight="true" outlineLevel="0" collapsed="false">
      <c r="A145" s="6" t="n">
        <v>144</v>
      </c>
      <c r="B145" s="5" t="s">
        <v>191</v>
      </c>
      <c r="C145" s="5" t="s">
        <v>10</v>
      </c>
      <c r="D145" s="5" t="s">
        <v>47</v>
      </c>
      <c r="E145" s="8" t="n">
        <v>4.6</v>
      </c>
      <c r="F145" s="6" t="n">
        <f aca="false">IFERROR(VLOOKUP(C145,BangGiaCuoc!$A$2:$C$9,3,0),0)</f>
        <v>32000</v>
      </c>
      <c r="G145" s="5" t="str">
        <f aca="false">IF(F145=0,"Lỗi mã (Cần kiểm tra)","Hợp lệ")</f>
        <v>Hợp lệ</v>
      </c>
      <c r="H145" s="5" t="s">
        <v>31</v>
      </c>
    </row>
    <row r="146" customFormat="false" ht="18.75" hidden="false" customHeight="true" outlineLevel="0" collapsed="false">
      <c r="A146" s="4" t="n">
        <v>145</v>
      </c>
      <c r="B146" s="3" t="s">
        <v>192</v>
      </c>
      <c r="C146" s="3" t="s">
        <v>16</v>
      </c>
      <c r="D146" s="3" t="s">
        <v>47</v>
      </c>
      <c r="E146" s="7" t="n">
        <v>12.4</v>
      </c>
      <c r="F146" s="4" t="n">
        <f aca="false">IFERROR(VLOOKUP(C146,BangGiaCuoc!$A$2:$C$9,3,0),0)</f>
        <v>65000</v>
      </c>
      <c r="G146" s="3" t="str">
        <f aca="false">IF(F146=0,"Lỗi mã (Cần kiểm tra)","Hợp lệ")</f>
        <v>Hợp lệ</v>
      </c>
      <c r="H146" s="3" t="s">
        <v>31</v>
      </c>
    </row>
    <row r="147" customFormat="false" ht="18.75" hidden="false" customHeight="true" outlineLevel="0" collapsed="false">
      <c r="A147" s="6" t="n">
        <v>146</v>
      </c>
      <c r="B147" s="5" t="s">
        <v>193</v>
      </c>
      <c r="C147" s="5" t="s">
        <v>12</v>
      </c>
      <c r="D147" s="5" t="s">
        <v>58</v>
      </c>
      <c r="E147" s="8" t="n">
        <v>3.8</v>
      </c>
      <c r="F147" s="6" t="n">
        <f aca="false">IFERROR(VLOOKUP(C147,BangGiaCuoc!$A$2:$C$9,3,0),0)</f>
        <v>55000</v>
      </c>
      <c r="G147" s="5" t="str">
        <f aca="false">IF(F147=0,"Lỗi mã (Cần kiểm tra)","Hợp lệ")</f>
        <v>Hợp lệ</v>
      </c>
      <c r="H147" s="5" t="s">
        <v>31</v>
      </c>
    </row>
    <row r="148" customFormat="false" ht="18.75" hidden="false" customHeight="true" outlineLevel="0" collapsed="false">
      <c r="A148" s="4" t="n">
        <v>147</v>
      </c>
      <c r="B148" s="3" t="s">
        <v>194</v>
      </c>
      <c r="C148" s="3" t="s">
        <v>12</v>
      </c>
      <c r="D148" s="3" t="s">
        <v>65</v>
      </c>
      <c r="E148" s="7" t="n">
        <v>0.9</v>
      </c>
      <c r="F148" s="4" t="n">
        <f aca="false">IFERROR(VLOOKUP(C148,BangGiaCuoc!$A$2:$C$9,3,0),0)</f>
        <v>55000</v>
      </c>
      <c r="G148" s="3" t="str">
        <f aca="false">IF(F148=0,"Lỗi mã (Cần kiểm tra)","Hợp lệ")</f>
        <v>Hợp lệ</v>
      </c>
      <c r="H148" s="3" t="s">
        <v>31</v>
      </c>
    </row>
    <row r="149" customFormat="false" ht="18.75" hidden="false" customHeight="true" outlineLevel="0" collapsed="false">
      <c r="A149" s="6" t="n">
        <v>148</v>
      </c>
      <c r="B149" s="5" t="s">
        <v>195</v>
      </c>
      <c r="C149" s="5" t="s">
        <v>12</v>
      </c>
      <c r="D149" s="5" t="s">
        <v>72</v>
      </c>
      <c r="E149" s="8" t="n">
        <v>9.4</v>
      </c>
      <c r="F149" s="6" t="n">
        <f aca="false">IFERROR(VLOOKUP(C149,BangGiaCuoc!$A$2:$C$9,3,0),0)</f>
        <v>55000</v>
      </c>
      <c r="G149" s="5" t="str">
        <f aca="false">IF(F149=0,"Lỗi mã (Cần kiểm tra)","Hợp lệ")</f>
        <v>Hợp lệ</v>
      </c>
      <c r="H149" s="5" t="s">
        <v>31</v>
      </c>
    </row>
    <row r="150" customFormat="false" ht="18.75" hidden="false" customHeight="true" outlineLevel="0" collapsed="false">
      <c r="A150" s="4" t="n">
        <v>149</v>
      </c>
      <c r="B150" s="3" t="s">
        <v>196</v>
      </c>
      <c r="C150" s="3" t="s">
        <v>8</v>
      </c>
      <c r="D150" s="3" t="s">
        <v>72</v>
      </c>
      <c r="E150" s="7" t="n">
        <v>6.5</v>
      </c>
      <c r="F150" s="4" t="n">
        <f aca="false">IFERROR(VLOOKUP(C150,BangGiaCuoc!$A$2:$C$9,3,0),0)</f>
        <v>40000</v>
      </c>
      <c r="G150" s="3" t="str">
        <f aca="false">IF(F150=0,"Lỗi mã (Cần kiểm tra)","Hợp lệ")</f>
        <v>Hợp lệ</v>
      </c>
      <c r="H150" s="3" t="s">
        <v>31</v>
      </c>
    </row>
    <row r="151" customFormat="false" ht="18.75" hidden="false" customHeight="true" outlineLevel="0" collapsed="false">
      <c r="A151" s="6" t="n">
        <v>150</v>
      </c>
      <c r="B151" s="5" t="s">
        <v>197</v>
      </c>
      <c r="C151" s="5" t="s">
        <v>12</v>
      </c>
      <c r="D151" s="5" t="s">
        <v>44</v>
      </c>
      <c r="E151" s="8" t="n">
        <v>7.7</v>
      </c>
      <c r="F151" s="6" t="n">
        <f aca="false">IFERROR(VLOOKUP(C151,BangGiaCuoc!$A$2:$C$9,3,0),0)</f>
        <v>55000</v>
      </c>
      <c r="G151" s="5" t="str">
        <f aca="false">IF(F151=0,"Lỗi mã (Cần kiểm tra)","Hợp lệ")</f>
        <v>Hợp lệ</v>
      </c>
      <c r="H151" s="5" t="s">
        <v>31</v>
      </c>
    </row>
    <row r="152" customFormat="false" ht="18.75" hidden="false" customHeight="true" outlineLevel="0" collapsed="false">
      <c r="A152" s="4" t="n">
        <v>151</v>
      </c>
      <c r="B152" s="3" t="s">
        <v>198</v>
      </c>
      <c r="C152" s="3" t="s">
        <v>12</v>
      </c>
      <c r="D152" s="3" t="s">
        <v>65</v>
      </c>
      <c r="E152" s="7" t="n">
        <v>10</v>
      </c>
      <c r="F152" s="4" t="n">
        <f aca="false">IFERROR(VLOOKUP(C152,BangGiaCuoc!$A$2:$C$9,3,0),0)</f>
        <v>55000</v>
      </c>
      <c r="G152" s="3" t="str">
        <f aca="false">IF(F152=0,"Lỗi mã (Cần kiểm tra)","Hợp lệ")</f>
        <v>Hợp lệ</v>
      </c>
      <c r="H152" s="3" t="s">
        <v>31</v>
      </c>
    </row>
    <row r="153" customFormat="false" ht="18.75" hidden="false" customHeight="true" outlineLevel="0" collapsed="false">
      <c r="A153" s="6" t="n">
        <v>152</v>
      </c>
      <c r="B153" s="5" t="s">
        <v>199</v>
      </c>
      <c r="C153" s="5" t="s">
        <v>5</v>
      </c>
      <c r="D153" s="5" t="s">
        <v>47</v>
      </c>
      <c r="E153" s="8" t="n">
        <v>11.8</v>
      </c>
      <c r="F153" s="6" t="n">
        <f aca="false">IFERROR(VLOOKUP(C153,BangGiaCuoc!$A$2:$C$9,3,0),0)</f>
        <v>22000</v>
      </c>
      <c r="G153" s="5" t="str">
        <f aca="false">IF(F153=0,"Lỗi mã (Cần kiểm tra)","Hợp lệ")</f>
        <v>Hợp lệ</v>
      </c>
      <c r="H153" s="5" t="s">
        <v>31</v>
      </c>
    </row>
    <row r="154" customFormat="false" ht="18.75" hidden="false" customHeight="true" outlineLevel="0" collapsed="false">
      <c r="A154" s="4" t="n">
        <v>153</v>
      </c>
      <c r="B154" s="3" t="s">
        <v>200</v>
      </c>
      <c r="C154" s="3" t="s">
        <v>12</v>
      </c>
      <c r="D154" s="3" t="s">
        <v>65</v>
      </c>
      <c r="E154" s="7" t="n">
        <v>12.2</v>
      </c>
      <c r="F154" s="4" t="n">
        <f aca="false">IFERROR(VLOOKUP(C154,BangGiaCuoc!$A$2:$C$9,3,0),0)</f>
        <v>55000</v>
      </c>
      <c r="G154" s="3" t="str">
        <f aca="false">IF(F154=0,"Lỗi mã (Cần kiểm tra)","Hợp lệ")</f>
        <v>Hợp lệ</v>
      </c>
      <c r="H154" s="3" t="s">
        <v>31</v>
      </c>
    </row>
    <row r="155" customFormat="false" ht="18.75" hidden="false" customHeight="true" outlineLevel="0" collapsed="false">
      <c r="A155" s="6" t="n">
        <v>154</v>
      </c>
      <c r="B155" s="5" t="s">
        <v>201</v>
      </c>
      <c r="C155" s="5" t="s">
        <v>20</v>
      </c>
      <c r="D155" s="5" t="s">
        <v>30</v>
      </c>
      <c r="E155" s="8" t="n">
        <v>8.6</v>
      </c>
      <c r="F155" s="6" t="n">
        <f aca="false">IFERROR(VLOOKUP(C155,BangGiaCuoc!$A$2:$C$9,3,0),0)</f>
        <v>110000</v>
      </c>
      <c r="G155" s="5" t="str">
        <f aca="false">IF(F155=0,"Lỗi mã (Cần kiểm tra)","Hợp lệ")</f>
        <v>Hợp lệ</v>
      </c>
      <c r="H155" s="5" t="s">
        <v>31</v>
      </c>
    </row>
    <row r="156" customFormat="false" ht="18.75" hidden="false" customHeight="true" outlineLevel="0" collapsed="false">
      <c r="A156" s="4" t="n">
        <v>155</v>
      </c>
      <c r="B156" s="3" t="s">
        <v>202</v>
      </c>
      <c r="C156" s="3" t="s">
        <v>8</v>
      </c>
      <c r="D156" s="3" t="s">
        <v>72</v>
      </c>
      <c r="E156" s="7" t="n">
        <v>2.4</v>
      </c>
      <c r="F156" s="4" t="n">
        <f aca="false">IFERROR(VLOOKUP(C156,BangGiaCuoc!$A$2:$C$9,3,0),0)</f>
        <v>40000</v>
      </c>
      <c r="G156" s="3" t="str">
        <f aca="false">IF(F156=0,"Lỗi mã (Cần kiểm tra)","Hợp lệ")</f>
        <v>Hợp lệ</v>
      </c>
      <c r="H156" s="3" t="s">
        <v>31</v>
      </c>
    </row>
    <row r="157" customFormat="false" ht="18.75" hidden="false" customHeight="true" outlineLevel="0" collapsed="false">
      <c r="A157" s="6" t="n">
        <v>156</v>
      </c>
      <c r="B157" s="5" t="s">
        <v>203</v>
      </c>
      <c r="C157" s="5" t="s">
        <v>20</v>
      </c>
      <c r="D157" s="5" t="s">
        <v>35</v>
      </c>
      <c r="E157" s="8" t="n">
        <v>14.8</v>
      </c>
      <c r="F157" s="6" t="n">
        <f aca="false">IFERROR(VLOOKUP(C157,BangGiaCuoc!$A$2:$C$9,3,0),0)</f>
        <v>110000</v>
      </c>
      <c r="G157" s="5" t="str">
        <f aca="false">IF(F157=0,"Lỗi mã (Cần kiểm tra)","Hợp lệ")</f>
        <v>Hợp lệ</v>
      </c>
      <c r="H157" s="5" t="s">
        <v>31</v>
      </c>
    </row>
    <row r="158" customFormat="false" ht="18.75" hidden="false" customHeight="true" outlineLevel="0" collapsed="false">
      <c r="A158" s="4" t="n">
        <v>157</v>
      </c>
      <c r="B158" s="3" t="s">
        <v>204</v>
      </c>
      <c r="C158" s="3" t="s">
        <v>16</v>
      </c>
      <c r="D158" s="3" t="s">
        <v>72</v>
      </c>
      <c r="E158" s="7" t="n">
        <v>9.4</v>
      </c>
      <c r="F158" s="4" t="n">
        <f aca="false">IFERROR(VLOOKUP(C158,BangGiaCuoc!$A$2:$C$9,3,0),0)</f>
        <v>65000</v>
      </c>
      <c r="G158" s="3" t="str">
        <f aca="false">IF(F158=0,"Lỗi mã (Cần kiểm tra)","Hợp lệ")</f>
        <v>Hợp lệ</v>
      </c>
      <c r="H158" s="3" t="s">
        <v>31</v>
      </c>
    </row>
    <row r="159" customFormat="false" ht="18.75" hidden="false" customHeight="true" outlineLevel="0" collapsed="false">
      <c r="A159" s="6" t="n">
        <v>158</v>
      </c>
      <c r="B159" s="5" t="s">
        <v>205</v>
      </c>
      <c r="C159" s="5" t="s">
        <v>18</v>
      </c>
      <c r="D159" s="5" t="s">
        <v>35</v>
      </c>
      <c r="E159" s="8" t="n">
        <v>7</v>
      </c>
      <c r="F159" s="6" t="n">
        <f aca="false">IFERROR(VLOOKUP(C159,BangGiaCuoc!$A$2:$C$9,3,0),0)</f>
        <v>90000</v>
      </c>
      <c r="G159" s="5" t="str">
        <f aca="false">IF(F159=0,"Lỗi mã (Cần kiểm tra)","Hợp lệ")</f>
        <v>Hợp lệ</v>
      </c>
      <c r="H159" s="5" t="s">
        <v>31</v>
      </c>
    </row>
    <row r="160" customFormat="false" ht="18.75" hidden="false" customHeight="true" outlineLevel="0" collapsed="false">
      <c r="A160" s="4" t="n">
        <v>159</v>
      </c>
      <c r="B160" s="3" t="s">
        <v>206</v>
      </c>
      <c r="C160" s="3" t="s">
        <v>10</v>
      </c>
      <c r="D160" s="3" t="s">
        <v>72</v>
      </c>
      <c r="E160" s="7" t="n">
        <v>7</v>
      </c>
      <c r="F160" s="4" t="n">
        <f aca="false">IFERROR(VLOOKUP(C160,BangGiaCuoc!$A$2:$C$9,3,0),0)</f>
        <v>32000</v>
      </c>
      <c r="G160" s="3" t="str">
        <f aca="false">IF(F160=0,"Lỗi mã (Cần kiểm tra)","Hợp lệ")</f>
        <v>Hợp lệ</v>
      </c>
      <c r="H160" s="3" t="s">
        <v>31</v>
      </c>
    </row>
    <row r="161" customFormat="false" ht="18.75" hidden="false" customHeight="true" outlineLevel="0" collapsed="false">
      <c r="A161" s="6" t="n">
        <v>160</v>
      </c>
      <c r="B161" s="5" t="s">
        <v>207</v>
      </c>
      <c r="C161" s="5" t="s">
        <v>12</v>
      </c>
      <c r="D161" s="5" t="s">
        <v>58</v>
      </c>
      <c r="E161" s="8" t="n">
        <v>11.6</v>
      </c>
      <c r="F161" s="6" t="n">
        <f aca="false">IFERROR(VLOOKUP(C161,BangGiaCuoc!$A$2:$C$9,3,0),0)</f>
        <v>55000</v>
      </c>
      <c r="G161" s="5" t="str">
        <f aca="false">IF(F161=0,"Lỗi mã (Cần kiểm tra)","Hợp lệ")</f>
        <v>Hợp lệ</v>
      </c>
      <c r="H161" s="5" t="s">
        <v>31</v>
      </c>
    </row>
    <row r="162" customFormat="false" ht="18.75" hidden="false" customHeight="true" outlineLevel="0" collapsed="false">
      <c r="A162" s="4" t="n">
        <v>161</v>
      </c>
      <c r="B162" s="3" t="s">
        <v>208</v>
      </c>
      <c r="C162" s="3" t="s">
        <v>20</v>
      </c>
      <c r="D162" s="3" t="s">
        <v>33</v>
      </c>
      <c r="E162" s="7" t="n">
        <v>4.5</v>
      </c>
      <c r="F162" s="4" t="n">
        <f aca="false">IFERROR(VLOOKUP(C162,BangGiaCuoc!$A$2:$C$9,3,0),0)</f>
        <v>110000</v>
      </c>
      <c r="G162" s="3" t="str">
        <f aca="false">IF(F162=0,"Lỗi mã (Cần kiểm tra)","Hợp lệ")</f>
        <v>Hợp lệ</v>
      </c>
      <c r="H162" s="3" t="s">
        <v>31</v>
      </c>
    </row>
    <row r="163" customFormat="false" ht="18.75" hidden="false" customHeight="true" outlineLevel="0" collapsed="false">
      <c r="A163" s="6" t="n">
        <v>162</v>
      </c>
      <c r="B163" s="5" t="s">
        <v>209</v>
      </c>
      <c r="C163" s="5" t="s">
        <v>8</v>
      </c>
      <c r="D163" s="5" t="s">
        <v>58</v>
      </c>
      <c r="E163" s="8" t="n">
        <v>3.9</v>
      </c>
      <c r="F163" s="6" t="n">
        <f aca="false">IFERROR(VLOOKUP(C163,BangGiaCuoc!$A$2:$C$9,3,0),0)</f>
        <v>40000</v>
      </c>
      <c r="G163" s="5" t="str">
        <f aca="false">IF(F163=0,"Lỗi mã (Cần kiểm tra)","Hợp lệ")</f>
        <v>Hợp lệ</v>
      </c>
      <c r="H163" s="5" t="s">
        <v>31</v>
      </c>
    </row>
    <row r="164" customFormat="false" ht="18.75" hidden="false" customHeight="true" outlineLevel="0" collapsed="false">
      <c r="A164" s="4" t="n">
        <v>163</v>
      </c>
      <c r="B164" s="3" t="s">
        <v>210</v>
      </c>
      <c r="C164" s="3" t="s">
        <v>16</v>
      </c>
      <c r="D164" s="3" t="s">
        <v>49</v>
      </c>
      <c r="E164" s="7" t="n">
        <v>13.4</v>
      </c>
      <c r="F164" s="4" t="n">
        <f aca="false">IFERROR(VLOOKUP(C164,BangGiaCuoc!$A$2:$C$9,3,0),0)</f>
        <v>65000</v>
      </c>
      <c r="G164" s="3" t="str">
        <f aca="false">IF(F164=0,"Lỗi mã (Cần kiểm tra)","Hợp lệ")</f>
        <v>Hợp lệ</v>
      </c>
      <c r="H164" s="3" t="s">
        <v>31</v>
      </c>
    </row>
    <row r="165" customFormat="false" ht="18.75" hidden="false" customHeight="true" outlineLevel="0" collapsed="false">
      <c r="A165" s="6" t="n">
        <v>164</v>
      </c>
      <c r="B165" s="5" t="s">
        <v>211</v>
      </c>
      <c r="C165" s="5" t="s">
        <v>8</v>
      </c>
      <c r="D165" s="5" t="s">
        <v>65</v>
      </c>
      <c r="E165" s="8" t="n">
        <v>2.7</v>
      </c>
      <c r="F165" s="6" t="n">
        <f aca="false">IFERROR(VLOOKUP(C165,BangGiaCuoc!$A$2:$C$9,3,0),0)</f>
        <v>40000</v>
      </c>
      <c r="G165" s="5" t="str">
        <f aca="false">IF(F165=0,"Lỗi mã (Cần kiểm tra)","Hợp lệ")</f>
        <v>Hợp lệ</v>
      </c>
      <c r="H165" s="5" t="s">
        <v>31</v>
      </c>
    </row>
    <row r="166" customFormat="false" ht="18.75" hidden="false" customHeight="true" outlineLevel="0" collapsed="false">
      <c r="A166" s="4" t="n">
        <v>165</v>
      </c>
      <c r="B166" s="3" t="s">
        <v>212</v>
      </c>
      <c r="C166" s="3" t="s">
        <v>18</v>
      </c>
      <c r="D166" s="3" t="s">
        <v>65</v>
      </c>
      <c r="E166" s="7" t="n">
        <v>10.7</v>
      </c>
      <c r="F166" s="4" t="n">
        <f aca="false">IFERROR(VLOOKUP(C166,BangGiaCuoc!$A$2:$C$9,3,0),0)</f>
        <v>90000</v>
      </c>
      <c r="G166" s="3" t="str">
        <f aca="false">IF(F166=0,"Lỗi mã (Cần kiểm tra)","Hợp lệ")</f>
        <v>Hợp lệ</v>
      </c>
      <c r="H166" s="3" t="s">
        <v>31</v>
      </c>
    </row>
    <row r="167" customFormat="false" ht="18.75" hidden="false" customHeight="true" outlineLevel="0" collapsed="false">
      <c r="A167" s="6" t="n">
        <v>166</v>
      </c>
      <c r="B167" s="5" t="s">
        <v>213</v>
      </c>
      <c r="C167" s="5" t="s">
        <v>8</v>
      </c>
      <c r="D167" s="5" t="s">
        <v>44</v>
      </c>
      <c r="E167" s="8" t="n">
        <v>6.4</v>
      </c>
      <c r="F167" s="6" t="n">
        <f aca="false">IFERROR(VLOOKUP(C167,BangGiaCuoc!$A$2:$C$9,3,0),0)</f>
        <v>40000</v>
      </c>
      <c r="G167" s="5" t="str">
        <f aca="false">IF(F167=0,"Lỗi mã (Cần kiểm tra)","Hợp lệ")</f>
        <v>Hợp lệ</v>
      </c>
      <c r="H167" s="5" t="s">
        <v>31</v>
      </c>
    </row>
    <row r="168" customFormat="false" ht="18.75" hidden="false" customHeight="true" outlineLevel="0" collapsed="false">
      <c r="A168" s="4" t="n">
        <v>167</v>
      </c>
      <c r="B168" s="3" t="s">
        <v>214</v>
      </c>
      <c r="C168" s="3" t="s">
        <v>20</v>
      </c>
      <c r="D168" s="3" t="s">
        <v>44</v>
      </c>
      <c r="E168" s="7" t="n">
        <v>1.4</v>
      </c>
      <c r="F168" s="4" t="n">
        <f aca="false">IFERROR(VLOOKUP(C168,BangGiaCuoc!$A$2:$C$9,3,0),0)</f>
        <v>110000</v>
      </c>
      <c r="G168" s="3" t="str">
        <f aca="false">IF(F168=0,"Lỗi mã (Cần kiểm tra)","Hợp lệ")</f>
        <v>Hợp lệ</v>
      </c>
      <c r="H168" s="3" t="s">
        <v>31</v>
      </c>
    </row>
    <row r="169" customFormat="false" ht="18.75" hidden="false" customHeight="true" outlineLevel="0" collapsed="false">
      <c r="A169" s="6" t="n">
        <v>168</v>
      </c>
      <c r="B169" s="5" t="s">
        <v>215</v>
      </c>
      <c r="C169" s="5" t="s">
        <v>18</v>
      </c>
      <c r="D169" s="5" t="s">
        <v>44</v>
      </c>
      <c r="E169" s="8" t="n">
        <v>13.6</v>
      </c>
      <c r="F169" s="6" t="n">
        <f aca="false">IFERROR(VLOOKUP(C169,BangGiaCuoc!$A$2:$C$9,3,0),0)</f>
        <v>90000</v>
      </c>
      <c r="G169" s="5" t="str">
        <f aca="false">IF(F169=0,"Lỗi mã (Cần kiểm tra)","Hợp lệ")</f>
        <v>Hợp lệ</v>
      </c>
      <c r="H169" s="5" t="s">
        <v>31</v>
      </c>
    </row>
    <row r="170" customFormat="false" ht="18.75" hidden="false" customHeight="true" outlineLevel="0" collapsed="false">
      <c r="A170" s="4" t="n">
        <v>169</v>
      </c>
      <c r="B170" s="3" t="s">
        <v>216</v>
      </c>
      <c r="C170" s="3" t="s">
        <v>5</v>
      </c>
      <c r="D170" s="3" t="s">
        <v>53</v>
      </c>
      <c r="E170" s="7" t="n">
        <v>6</v>
      </c>
      <c r="F170" s="4" t="n">
        <f aca="false">IFERROR(VLOOKUP(C170,BangGiaCuoc!$A$2:$C$9,3,0),0)</f>
        <v>22000</v>
      </c>
      <c r="G170" s="3" t="str">
        <f aca="false">IF(F170=0,"Lỗi mã (Cần kiểm tra)","Hợp lệ")</f>
        <v>Hợp lệ</v>
      </c>
      <c r="H170" s="3" t="s">
        <v>31</v>
      </c>
    </row>
    <row r="171" customFormat="false" ht="18.75" hidden="false" customHeight="true" outlineLevel="0" collapsed="false">
      <c r="A171" s="6" t="n">
        <v>170</v>
      </c>
      <c r="B171" s="5" t="s">
        <v>217</v>
      </c>
      <c r="C171" s="5" t="s">
        <v>5</v>
      </c>
      <c r="D171" s="5" t="s">
        <v>49</v>
      </c>
      <c r="E171" s="8" t="n">
        <v>4.8</v>
      </c>
      <c r="F171" s="6" t="n">
        <f aca="false">IFERROR(VLOOKUP(C171,BangGiaCuoc!$A$2:$C$9,3,0),0)</f>
        <v>22000</v>
      </c>
      <c r="G171" s="5" t="str">
        <f aca="false">IF(F171=0,"Lỗi mã (Cần kiểm tra)","Hợp lệ")</f>
        <v>Hợp lệ</v>
      </c>
      <c r="H171" s="5" t="s">
        <v>31</v>
      </c>
    </row>
    <row r="172" customFormat="false" ht="18.75" hidden="false" customHeight="true" outlineLevel="0" collapsed="false">
      <c r="A172" s="4" t="n">
        <v>171</v>
      </c>
      <c r="B172" s="3" t="s">
        <v>218</v>
      </c>
      <c r="C172" s="3" t="s">
        <v>18</v>
      </c>
      <c r="D172" s="3" t="s">
        <v>44</v>
      </c>
      <c r="E172" s="7" t="n">
        <v>8.3</v>
      </c>
      <c r="F172" s="4" t="n">
        <f aca="false">IFERROR(VLOOKUP(C172,BangGiaCuoc!$A$2:$C$9,3,0),0)</f>
        <v>90000</v>
      </c>
      <c r="G172" s="3" t="str">
        <f aca="false">IF(F172=0,"Lỗi mã (Cần kiểm tra)","Hợp lệ")</f>
        <v>Hợp lệ</v>
      </c>
      <c r="H172" s="3" t="s">
        <v>31</v>
      </c>
    </row>
    <row r="173" customFormat="false" ht="18.75" hidden="false" customHeight="true" outlineLevel="0" collapsed="false">
      <c r="A173" s="6" t="n">
        <v>172</v>
      </c>
      <c r="B173" s="5" t="s">
        <v>219</v>
      </c>
      <c r="C173" s="5" t="s">
        <v>12</v>
      </c>
      <c r="D173" s="5" t="s">
        <v>72</v>
      </c>
      <c r="E173" s="8" t="n">
        <v>3.7</v>
      </c>
      <c r="F173" s="6" t="n">
        <f aca="false">IFERROR(VLOOKUP(C173,BangGiaCuoc!$A$2:$C$9,3,0),0)</f>
        <v>55000</v>
      </c>
      <c r="G173" s="5" t="str">
        <f aca="false">IF(F173=0,"Lỗi mã (Cần kiểm tra)","Hợp lệ")</f>
        <v>Hợp lệ</v>
      </c>
      <c r="H173" s="5" t="s">
        <v>31</v>
      </c>
    </row>
    <row r="174" customFormat="false" ht="18.75" hidden="false" customHeight="true" outlineLevel="0" collapsed="false">
      <c r="A174" s="4" t="n">
        <v>173</v>
      </c>
      <c r="B174" s="3" t="s">
        <v>220</v>
      </c>
      <c r="C174" s="3" t="s">
        <v>18</v>
      </c>
      <c r="D174" s="3" t="s">
        <v>72</v>
      </c>
      <c r="E174" s="7" t="n">
        <v>0.9</v>
      </c>
      <c r="F174" s="4" t="n">
        <f aca="false">IFERROR(VLOOKUP(C174,BangGiaCuoc!$A$2:$C$9,3,0),0)</f>
        <v>90000</v>
      </c>
      <c r="G174" s="3" t="str">
        <f aca="false">IF(F174=0,"Lỗi mã (Cần kiểm tra)","Hợp lệ")</f>
        <v>Hợp lệ</v>
      </c>
      <c r="H174" s="3" t="s">
        <v>31</v>
      </c>
    </row>
    <row r="175" customFormat="false" ht="18.75" hidden="false" customHeight="true" outlineLevel="0" collapsed="false">
      <c r="A175" s="6" t="n">
        <v>174</v>
      </c>
      <c r="B175" s="5" t="s">
        <v>221</v>
      </c>
      <c r="C175" s="5" t="s">
        <v>16</v>
      </c>
      <c r="D175" s="5" t="s">
        <v>44</v>
      </c>
      <c r="E175" s="8" t="n">
        <v>11</v>
      </c>
      <c r="F175" s="6" t="n">
        <f aca="false">IFERROR(VLOOKUP(C175,BangGiaCuoc!$A$2:$C$9,3,0),0)</f>
        <v>65000</v>
      </c>
      <c r="G175" s="5" t="str">
        <f aca="false">IF(F175=0,"Lỗi mã (Cần kiểm tra)","Hợp lệ")</f>
        <v>Hợp lệ</v>
      </c>
      <c r="H175" s="5" t="s">
        <v>31</v>
      </c>
    </row>
    <row r="176" customFormat="false" ht="18.75" hidden="false" customHeight="true" outlineLevel="0" collapsed="false">
      <c r="A176" s="4" t="n">
        <v>175</v>
      </c>
      <c r="B176" s="3" t="s">
        <v>222</v>
      </c>
      <c r="C176" s="3" t="s">
        <v>20</v>
      </c>
      <c r="D176" s="3" t="s">
        <v>65</v>
      </c>
      <c r="E176" s="7" t="n">
        <v>14.7</v>
      </c>
      <c r="F176" s="4" t="n">
        <f aca="false">IFERROR(VLOOKUP(C176,BangGiaCuoc!$A$2:$C$9,3,0),0)</f>
        <v>110000</v>
      </c>
      <c r="G176" s="3" t="str">
        <f aca="false">IF(F176=0,"Lỗi mã (Cần kiểm tra)","Hợp lệ")</f>
        <v>Hợp lệ</v>
      </c>
      <c r="H176" s="3" t="s">
        <v>31</v>
      </c>
    </row>
    <row r="177" customFormat="false" ht="18.75" hidden="false" customHeight="true" outlineLevel="0" collapsed="false">
      <c r="A177" s="6" t="n">
        <v>176</v>
      </c>
      <c r="B177" s="5" t="s">
        <v>223</v>
      </c>
      <c r="C177" s="5" t="s">
        <v>5</v>
      </c>
      <c r="D177" s="5" t="s">
        <v>44</v>
      </c>
      <c r="E177" s="8" t="n">
        <v>9.1</v>
      </c>
      <c r="F177" s="6" t="n">
        <f aca="false">IFERROR(VLOOKUP(C177,BangGiaCuoc!$A$2:$C$9,3,0),0)</f>
        <v>22000</v>
      </c>
      <c r="G177" s="5" t="str">
        <f aca="false">IF(F177=0,"Lỗi mã (Cần kiểm tra)","Hợp lệ")</f>
        <v>Hợp lệ</v>
      </c>
      <c r="H177" s="5" t="s">
        <v>31</v>
      </c>
    </row>
    <row r="178" customFormat="false" ht="18.75" hidden="false" customHeight="true" outlineLevel="0" collapsed="false">
      <c r="A178" s="4" t="n">
        <v>177</v>
      </c>
      <c r="B178" s="3" t="s">
        <v>224</v>
      </c>
      <c r="C178" s="3" t="s">
        <v>5</v>
      </c>
      <c r="D178" s="3" t="s">
        <v>47</v>
      </c>
      <c r="E178" s="7" t="n">
        <v>9.8</v>
      </c>
      <c r="F178" s="4" t="n">
        <f aca="false">IFERROR(VLOOKUP(C178,BangGiaCuoc!$A$2:$C$9,3,0),0)</f>
        <v>22000</v>
      </c>
      <c r="G178" s="3" t="str">
        <f aca="false">IF(F178=0,"Lỗi mã (Cần kiểm tra)","Hợp lệ")</f>
        <v>Hợp lệ</v>
      </c>
      <c r="H178" s="3" t="s">
        <v>31</v>
      </c>
    </row>
    <row r="179" customFormat="false" ht="18.75" hidden="false" customHeight="true" outlineLevel="0" collapsed="false">
      <c r="A179" s="6" t="n">
        <v>178</v>
      </c>
      <c r="B179" s="5" t="s">
        <v>225</v>
      </c>
      <c r="C179" s="5" t="s">
        <v>10</v>
      </c>
      <c r="D179" s="5" t="s">
        <v>72</v>
      </c>
      <c r="E179" s="8" t="n">
        <v>3.1</v>
      </c>
      <c r="F179" s="6" t="n">
        <f aca="false">IFERROR(VLOOKUP(C179,BangGiaCuoc!$A$2:$C$9,3,0),0)</f>
        <v>32000</v>
      </c>
      <c r="G179" s="5" t="str">
        <f aca="false">IF(F179=0,"Lỗi mã (Cần kiểm tra)","Hợp lệ")</f>
        <v>Hợp lệ</v>
      </c>
      <c r="H179" s="5" t="s">
        <v>31</v>
      </c>
    </row>
    <row r="180" customFormat="false" ht="18.75" hidden="false" customHeight="true" outlineLevel="0" collapsed="false">
      <c r="A180" s="4" t="n">
        <v>179</v>
      </c>
      <c r="B180" s="3" t="s">
        <v>226</v>
      </c>
      <c r="C180" s="3" t="s">
        <v>14</v>
      </c>
      <c r="D180" s="3" t="s">
        <v>44</v>
      </c>
      <c r="E180" s="7" t="n">
        <v>5.2</v>
      </c>
      <c r="F180" s="4" t="n">
        <f aca="false">IFERROR(VLOOKUP(C180,BangGiaCuoc!$A$2:$C$9,3,0),0)</f>
        <v>75000</v>
      </c>
      <c r="G180" s="3" t="str">
        <f aca="false">IF(F180=0,"Lỗi mã (Cần kiểm tra)","Hợp lệ")</f>
        <v>Hợp lệ</v>
      </c>
      <c r="H180" s="3" t="s">
        <v>31</v>
      </c>
    </row>
    <row r="181" customFormat="false" ht="18.75" hidden="false" customHeight="true" outlineLevel="0" collapsed="false">
      <c r="A181" s="6" t="n">
        <v>180</v>
      </c>
      <c r="B181" s="5" t="s">
        <v>227</v>
      </c>
      <c r="C181" s="5" t="s">
        <v>20</v>
      </c>
      <c r="D181" s="5" t="s">
        <v>49</v>
      </c>
      <c r="E181" s="8" t="n">
        <v>5.4</v>
      </c>
      <c r="F181" s="6" t="n">
        <f aca="false">IFERROR(VLOOKUP(C181,BangGiaCuoc!$A$2:$C$9,3,0),0)</f>
        <v>110000</v>
      </c>
      <c r="G181" s="5" t="str">
        <f aca="false">IF(F181=0,"Lỗi mã (Cần kiểm tra)","Hợp lệ")</f>
        <v>Hợp lệ</v>
      </c>
      <c r="H181" s="5" t="s">
        <v>31</v>
      </c>
    </row>
    <row r="182" customFormat="false" ht="18.75" hidden="false" customHeight="true" outlineLevel="0" collapsed="false">
      <c r="A182" s="4" t="n">
        <v>181</v>
      </c>
      <c r="B182" s="3" t="s">
        <v>228</v>
      </c>
      <c r="C182" s="3" t="s">
        <v>18</v>
      </c>
      <c r="D182" s="3" t="s">
        <v>58</v>
      </c>
      <c r="E182" s="7" t="n">
        <v>11.4</v>
      </c>
      <c r="F182" s="4" t="n">
        <f aca="false">IFERROR(VLOOKUP(C182,BangGiaCuoc!$A$2:$C$9,3,0),0)</f>
        <v>90000</v>
      </c>
      <c r="G182" s="3" t="str">
        <f aca="false">IF(F182=0,"Lỗi mã (Cần kiểm tra)","Hợp lệ")</f>
        <v>Hợp lệ</v>
      </c>
      <c r="H182" s="3" t="s">
        <v>31</v>
      </c>
    </row>
    <row r="183" customFormat="false" ht="18.75" hidden="false" customHeight="true" outlineLevel="0" collapsed="false">
      <c r="A183" s="6" t="n">
        <v>182</v>
      </c>
      <c r="B183" s="5" t="s">
        <v>229</v>
      </c>
      <c r="C183" s="5" t="s">
        <v>18</v>
      </c>
      <c r="D183" s="5" t="s">
        <v>58</v>
      </c>
      <c r="E183" s="8" t="n">
        <v>12.6</v>
      </c>
      <c r="F183" s="6" t="n">
        <f aca="false">IFERROR(VLOOKUP(C183,BangGiaCuoc!$A$2:$C$9,3,0),0)</f>
        <v>90000</v>
      </c>
      <c r="G183" s="5" t="str">
        <f aca="false">IF(F183=0,"Lỗi mã (Cần kiểm tra)","Hợp lệ")</f>
        <v>Hợp lệ</v>
      </c>
      <c r="H183" s="5" t="s">
        <v>31</v>
      </c>
    </row>
    <row r="184" customFormat="false" ht="18.75" hidden="false" customHeight="true" outlineLevel="0" collapsed="false">
      <c r="A184" s="4" t="n">
        <v>183</v>
      </c>
      <c r="B184" s="3" t="s">
        <v>230</v>
      </c>
      <c r="C184" s="3" t="s">
        <v>20</v>
      </c>
      <c r="D184" s="3" t="s">
        <v>30</v>
      </c>
      <c r="E184" s="7" t="n">
        <v>11.4</v>
      </c>
      <c r="F184" s="4" t="n">
        <f aca="false">IFERROR(VLOOKUP(C184,BangGiaCuoc!$A$2:$C$9,3,0),0)</f>
        <v>110000</v>
      </c>
      <c r="G184" s="3" t="str">
        <f aca="false">IF(F184=0,"Lỗi mã (Cần kiểm tra)","Hợp lệ")</f>
        <v>Hợp lệ</v>
      </c>
      <c r="H184" s="3" t="s">
        <v>31</v>
      </c>
    </row>
    <row r="185" customFormat="false" ht="18.75" hidden="false" customHeight="true" outlineLevel="0" collapsed="false">
      <c r="A185" s="6" t="n">
        <v>184</v>
      </c>
      <c r="B185" s="5" t="s">
        <v>231</v>
      </c>
      <c r="C185" s="5" t="s">
        <v>5</v>
      </c>
      <c r="D185" s="5" t="s">
        <v>49</v>
      </c>
      <c r="E185" s="8" t="n">
        <v>3.8</v>
      </c>
      <c r="F185" s="6" t="n">
        <f aca="false">IFERROR(VLOOKUP(C185,BangGiaCuoc!$A$2:$C$9,3,0),0)</f>
        <v>22000</v>
      </c>
      <c r="G185" s="5" t="str">
        <f aca="false">IF(F185=0,"Lỗi mã (Cần kiểm tra)","Hợp lệ")</f>
        <v>Hợp lệ</v>
      </c>
      <c r="H185" s="5" t="s">
        <v>31</v>
      </c>
    </row>
    <row r="186" customFormat="false" ht="18.75" hidden="false" customHeight="true" outlineLevel="0" collapsed="false">
      <c r="A186" s="4" t="n">
        <v>185</v>
      </c>
      <c r="B186" s="3" t="s">
        <v>232</v>
      </c>
      <c r="C186" s="3" t="s">
        <v>8</v>
      </c>
      <c r="D186" s="3" t="s">
        <v>30</v>
      </c>
      <c r="E186" s="7" t="n">
        <v>11.4</v>
      </c>
      <c r="F186" s="4" t="n">
        <f aca="false">IFERROR(VLOOKUP(C186,BangGiaCuoc!$A$2:$C$9,3,0),0)</f>
        <v>40000</v>
      </c>
      <c r="G186" s="3" t="str">
        <f aca="false">IF(F186=0,"Lỗi mã (Cần kiểm tra)","Hợp lệ")</f>
        <v>Hợp lệ</v>
      </c>
      <c r="H186" s="3" t="s">
        <v>31</v>
      </c>
    </row>
    <row r="187" customFormat="false" ht="18.75" hidden="false" customHeight="true" outlineLevel="0" collapsed="false">
      <c r="A187" s="6" t="n">
        <v>186</v>
      </c>
      <c r="B187" s="5" t="s">
        <v>233</v>
      </c>
      <c r="C187" s="5" t="s">
        <v>12</v>
      </c>
      <c r="D187" s="5" t="s">
        <v>33</v>
      </c>
      <c r="E187" s="8" t="n">
        <v>12.7</v>
      </c>
      <c r="F187" s="6" t="n">
        <f aca="false">IFERROR(VLOOKUP(C187,BangGiaCuoc!$A$2:$C$9,3,0),0)</f>
        <v>55000</v>
      </c>
      <c r="G187" s="5" t="str">
        <f aca="false">IF(F187=0,"Lỗi mã (Cần kiểm tra)","Hợp lệ")</f>
        <v>Hợp lệ</v>
      </c>
      <c r="H187" s="5" t="s">
        <v>31</v>
      </c>
    </row>
    <row r="188" customFormat="false" ht="18.75" hidden="false" customHeight="true" outlineLevel="0" collapsed="false">
      <c r="A188" s="4" t="n">
        <v>187</v>
      </c>
      <c r="B188" s="3" t="s">
        <v>234</v>
      </c>
      <c r="C188" s="3" t="s">
        <v>10</v>
      </c>
      <c r="D188" s="3" t="s">
        <v>33</v>
      </c>
      <c r="E188" s="7" t="n">
        <v>2.3</v>
      </c>
      <c r="F188" s="4" t="n">
        <f aca="false">IFERROR(VLOOKUP(C188,BangGiaCuoc!$A$2:$C$9,3,0),0)</f>
        <v>32000</v>
      </c>
      <c r="G188" s="3" t="str">
        <f aca="false">IF(F188=0,"Lỗi mã (Cần kiểm tra)","Hợp lệ")</f>
        <v>Hợp lệ</v>
      </c>
      <c r="H188" s="3" t="s">
        <v>31</v>
      </c>
    </row>
    <row r="189" customFormat="false" ht="18.75" hidden="false" customHeight="true" outlineLevel="0" collapsed="false">
      <c r="A189" s="6" t="n">
        <v>188</v>
      </c>
      <c r="B189" s="5" t="s">
        <v>235</v>
      </c>
      <c r="C189" s="5" t="s">
        <v>8</v>
      </c>
      <c r="D189" s="5" t="s">
        <v>53</v>
      </c>
      <c r="E189" s="8" t="n">
        <v>14.2</v>
      </c>
      <c r="F189" s="6" t="n">
        <f aca="false">IFERROR(VLOOKUP(C189,BangGiaCuoc!$A$2:$C$9,3,0),0)</f>
        <v>40000</v>
      </c>
      <c r="G189" s="5" t="str">
        <f aca="false">IF(F189=0,"Lỗi mã (Cần kiểm tra)","Hợp lệ")</f>
        <v>Hợp lệ</v>
      </c>
      <c r="H189" s="5" t="s">
        <v>31</v>
      </c>
    </row>
    <row r="190" customFormat="false" ht="18.75" hidden="false" customHeight="true" outlineLevel="0" collapsed="false">
      <c r="A190" s="4" t="n">
        <v>189</v>
      </c>
      <c r="B190" s="3" t="s">
        <v>236</v>
      </c>
      <c r="C190" s="3" t="s">
        <v>20</v>
      </c>
      <c r="D190" s="3" t="s">
        <v>58</v>
      </c>
      <c r="E190" s="7" t="n">
        <v>11.6</v>
      </c>
      <c r="F190" s="4" t="n">
        <f aca="false">IFERROR(VLOOKUP(C190,BangGiaCuoc!$A$2:$C$9,3,0),0)</f>
        <v>110000</v>
      </c>
      <c r="G190" s="3" t="str">
        <f aca="false">IF(F190=0,"Lỗi mã (Cần kiểm tra)","Hợp lệ")</f>
        <v>Hợp lệ</v>
      </c>
      <c r="H190" s="3" t="s">
        <v>31</v>
      </c>
    </row>
    <row r="191" customFormat="false" ht="18.75" hidden="false" customHeight="true" outlineLevel="0" collapsed="false">
      <c r="A191" s="6" t="n">
        <v>190</v>
      </c>
      <c r="B191" s="5" t="s">
        <v>237</v>
      </c>
      <c r="C191" s="5" t="s">
        <v>10</v>
      </c>
      <c r="D191" s="5" t="s">
        <v>53</v>
      </c>
      <c r="E191" s="8" t="n">
        <v>9.3</v>
      </c>
      <c r="F191" s="6" t="n">
        <f aca="false">IFERROR(VLOOKUP(C191,BangGiaCuoc!$A$2:$C$9,3,0),0)</f>
        <v>32000</v>
      </c>
      <c r="G191" s="5" t="str">
        <f aca="false">IF(F191=0,"Lỗi mã (Cần kiểm tra)","Hợp lệ")</f>
        <v>Hợp lệ</v>
      </c>
      <c r="H191" s="5" t="s">
        <v>31</v>
      </c>
    </row>
    <row r="192" customFormat="false" ht="18.75" hidden="false" customHeight="true" outlineLevel="0" collapsed="false">
      <c r="A192" s="4" t="n">
        <v>191</v>
      </c>
      <c r="B192" s="3" t="s">
        <v>238</v>
      </c>
      <c r="C192" s="3" t="s">
        <v>8</v>
      </c>
      <c r="D192" s="3" t="s">
        <v>65</v>
      </c>
      <c r="E192" s="7" t="n">
        <v>14.5</v>
      </c>
      <c r="F192" s="4" t="n">
        <f aca="false">IFERROR(VLOOKUP(C192,BangGiaCuoc!$A$2:$C$9,3,0),0)</f>
        <v>40000</v>
      </c>
      <c r="G192" s="3" t="str">
        <f aca="false">IF(F192=0,"Lỗi mã (Cần kiểm tra)","Hợp lệ")</f>
        <v>Hợp lệ</v>
      </c>
      <c r="H192" s="3" t="s">
        <v>31</v>
      </c>
    </row>
    <row r="193" customFormat="false" ht="18.75" hidden="false" customHeight="true" outlineLevel="0" collapsed="false">
      <c r="A193" s="6" t="n">
        <v>192</v>
      </c>
      <c r="B193" s="5" t="s">
        <v>239</v>
      </c>
      <c r="C193" s="5" t="s">
        <v>8</v>
      </c>
      <c r="D193" s="5" t="s">
        <v>53</v>
      </c>
      <c r="E193" s="8" t="n">
        <v>0.9</v>
      </c>
      <c r="F193" s="6" t="n">
        <f aca="false">IFERROR(VLOOKUP(C193,BangGiaCuoc!$A$2:$C$9,3,0),0)</f>
        <v>40000</v>
      </c>
      <c r="G193" s="5" t="str">
        <f aca="false">IF(F193=0,"Lỗi mã (Cần kiểm tra)","Hợp lệ")</f>
        <v>Hợp lệ</v>
      </c>
      <c r="H193" s="5" t="s">
        <v>31</v>
      </c>
    </row>
    <row r="194" customFormat="false" ht="18.75" hidden="false" customHeight="true" outlineLevel="0" collapsed="false">
      <c r="A194" s="4" t="n">
        <v>193</v>
      </c>
      <c r="B194" s="3" t="s">
        <v>240</v>
      </c>
      <c r="C194" s="3" t="s">
        <v>14</v>
      </c>
      <c r="D194" s="3" t="s">
        <v>53</v>
      </c>
      <c r="E194" s="7" t="n">
        <v>10.3</v>
      </c>
      <c r="F194" s="4" t="n">
        <f aca="false">IFERROR(VLOOKUP(C194,BangGiaCuoc!$A$2:$C$9,3,0),0)</f>
        <v>75000</v>
      </c>
      <c r="G194" s="3" t="str">
        <f aca="false">IF(F194=0,"Lỗi mã (Cần kiểm tra)","Hợp lệ")</f>
        <v>Hợp lệ</v>
      </c>
      <c r="H194" s="3" t="s">
        <v>31</v>
      </c>
    </row>
    <row r="195" customFormat="false" ht="18.75" hidden="false" customHeight="true" outlineLevel="0" collapsed="false">
      <c r="A195" s="6" t="n">
        <v>194</v>
      </c>
      <c r="B195" s="5" t="s">
        <v>241</v>
      </c>
      <c r="C195" s="5" t="s">
        <v>18</v>
      </c>
      <c r="D195" s="5" t="s">
        <v>44</v>
      </c>
      <c r="E195" s="8" t="n">
        <v>14.2</v>
      </c>
      <c r="F195" s="6" t="n">
        <f aca="false">IFERROR(VLOOKUP(C195,BangGiaCuoc!$A$2:$C$9,3,0),0)</f>
        <v>90000</v>
      </c>
      <c r="G195" s="5" t="str">
        <f aca="false">IF(F195=0,"Lỗi mã (Cần kiểm tra)","Hợp lệ")</f>
        <v>Hợp lệ</v>
      </c>
      <c r="H195" s="5" t="s">
        <v>31</v>
      </c>
    </row>
    <row r="196" customFormat="false" ht="18.75" hidden="false" customHeight="true" outlineLevel="0" collapsed="false">
      <c r="A196" s="4" t="n">
        <v>195</v>
      </c>
      <c r="B196" s="3" t="s">
        <v>242</v>
      </c>
      <c r="C196" s="3" t="s">
        <v>12</v>
      </c>
      <c r="D196" s="3" t="s">
        <v>47</v>
      </c>
      <c r="E196" s="7" t="n">
        <v>9.1</v>
      </c>
      <c r="F196" s="4" t="n">
        <f aca="false">IFERROR(VLOOKUP(C196,BangGiaCuoc!$A$2:$C$9,3,0),0)</f>
        <v>55000</v>
      </c>
      <c r="G196" s="3" t="str">
        <f aca="false">IF(F196=0,"Lỗi mã (Cần kiểm tra)","Hợp lệ")</f>
        <v>Hợp lệ</v>
      </c>
      <c r="H196" s="3" t="s">
        <v>31</v>
      </c>
    </row>
    <row r="197" customFormat="false" ht="18.75" hidden="false" customHeight="true" outlineLevel="0" collapsed="false">
      <c r="A197" s="6" t="n">
        <v>196</v>
      </c>
      <c r="B197" s="5" t="s">
        <v>243</v>
      </c>
      <c r="C197" s="5" t="s">
        <v>12</v>
      </c>
      <c r="D197" s="5" t="s">
        <v>47</v>
      </c>
      <c r="E197" s="8" t="n">
        <v>10.6</v>
      </c>
      <c r="F197" s="6" t="n">
        <f aca="false">IFERROR(VLOOKUP(C197,BangGiaCuoc!$A$2:$C$9,3,0),0)</f>
        <v>55000</v>
      </c>
      <c r="G197" s="5" t="str">
        <f aca="false">IF(F197=0,"Lỗi mã (Cần kiểm tra)","Hợp lệ")</f>
        <v>Hợp lệ</v>
      </c>
      <c r="H197" s="5" t="s">
        <v>31</v>
      </c>
    </row>
    <row r="198" customFormat="false" ht="18.75" hidden="false" customHeight="true" outlineLevel="0" collapsed="false">
      <c r="A198" s="4" t="n">
        <v>197</v>
      </c>
      <c r="B198" s="3" t="s">
        <v>244</v>
      </c>
      <c r="C198" s="3" t="s">
        <v>14</v>
      </c>
      <c r="D198" s="3" t="s">
        <v>53</v>
      </c>
      <c r="E198" s="7" t="n">
        <v>12.2</v>
      </c>
      <c r="F198" s="4" t="n">
        <f aca="false">IFERROR(VLOOKUP(C198,BangGiaCuoc!$A$2:$C$9,3,0),0)</f>
        <v>75000</v>
      </c>
      <c r="G198" s="3" t="str">
        <f aca="false">IF(F198=0,"Lỗi mã (Cần kiểm tra)","Hợp lệ")</f>
        <v>Hợp lệ</v>
      </c>
      <c r="H198" s="3" t="s">
        <v>31</v>
      </c>
    </row>
    <row r="199" customFormat="false" ht="18.75" hidden="false" customHeight="true" outlineLevel="0" collapsed="false">
      <c r="A199" s="6" t="n">
        <v>198</v>
      </c>
      <c r="B199" s="5" t="s">
        <v>245</v>
      </c>
      <c r="C199" s="5" t="s">
        <v>5</v>
      </c>
      <c r="D199" s="5" t="s">
        <v>49</v>
      </c>
      <c r="E199" s="8" t="n">
        <v>8.2</v>
      </c>
      <c r="F199" s="6" t="n">
        <f aca="false">IFERROR(VLOOKUP(C199,BangGiaCuoc!$A$2:$C$9,3,0),0)</f>
        <v>22000</v>
      </c>
      <c r="G199" s="5" t="str">
        <f aca="false">IF(F199=0,"Lỗi mã (Cần kiểm tra)","Hợp lệ")</f>
        <v>Hợp lệ</v>
      </c>
      <c r="H199" s="5" t="s">
        <v>31</v>
      </c>
    </row>
    <row r="200" customFormat="false" ht="18.75" hidden="false" customHeight="true" outlineLevel="0" collapsed="false">
      <c r="A200" s="4" t="n">
        <v>199</v>
      </c>
      <c r="B200" s="3" t="s">
        <v>246</v>
      </c>
      <c r="C200" s="3" t="s">
        <v>16</v>
      </c>
      <c r="D200" s="3" t="s">
        <v>47</v>
      </c>
      <c r="E200" s="7" t="n">
        <v>7.8</v>
      </c>
      <c r="F200" s="4" t="n">
        <f aca="false">IFERROR(VLOOKUP(C200,BangGiaCuoc!$A$2:$C$9,3,0),0)</f>
        <v>65000</v>
      </c>
      <c r="G200" s="3" t="str">
        <f aca="false">IF(F200=0,"Lỗi mã (Cần kiểm tra)","Hợp lệ")</f>
        <v>Hợp lệ</v>
      </c>
      <c r="H200" s="3" t="s">
        <v>31</v>
      </c>
    </row>
    <row r="201" customFormat="false" ht="18.75" hidden="false" customHeight="true" outlineLevel="0" collapsed="false">
      <c r="A201" s="6" t="n">
        <v>200</v>
      </c>
      <c r="B201" s="5" t="s">
        <v>247</v>
      </c>
      <c r="C201" s="5" t="s">
        <v>16</v>
      </c>
      <c r="D201" s="5" t="s">
        <v>30</v>
      </c>
      <c r="E201" s="8" t="n">
        <v>12.8</v>
      </c>
      <c r="F201" s="6" t="n">
        <f aca="false">IFERROR(VLOOKUP(C201,BangGiaCuoc!$A$2:$C$9,3,0),0)</f>
        <v>65000</v>
      </c>
      <c r="G201" s="5" t="str">
        <f aca="false">IF(F201=0,"Lỗi mã (Cần kiểm tra)","Hợp lệ")</f>
        <v>Hợp lệ</v>
      </c>
      <c r="H201" s="5" t="s">
        <v>31</v>
      </c>
    </row>
    <row r="202" customFormat="false" ht="18.75" hidden="false" customHeight="true" outlineLevel="0" collapsed="false">
      <c r="A202" s="4" t="n">
        <v>201</v>
      </c>
      <c r="B202" s="3" t="s">
        <v>248</v>
      </c>
      <c r="C202" s="3" t="s">
        <v>20</v>
      </c>
      <c r="D202" s="3" t="s">
        <v>47</v>
      </c>
      <c r="E202" s="7" t="n">
        <v>6.8</v>
      </c>
      <c r="F202" s="4" t="n">
        <f aca="false">IFERROR(VLOOKUP(C202,BangGiaCuoc!$A$2:$C$9,3,0),0)</f>
        <v>110000</v>
      </c>
      <c r="G202" s="3" t="str">
        <f aca="false">IF(F202=0,"Lỗi mã (Cần kiểm tra)","Hợp lệ")</f>
        <v>Hợp lệ</v>
      </c>
      <c r="H202" s="3" t="s">
        <v>31</v>
      </c>
    </row>
    <row r="203" customFormat="false" ht="18.75" hidden="false" customHeight="true" outlineLevel="0" collapsed="false">
      <c r="A203" s="6" t="n">
        <v>202</v>
      </c>
      <c r="B203" s="5" t="s">
        <v>249</v>
      </c>
      <c r="C203" s="5" t="s">
        <v>16</v>
      </c>
      <c r="D203" s="5" t="s">
        <v>72</v>
      </c>
      <c r="E203" s="8" t="n">
        <v>10.8</v>
      </c>
      <c r="F203" s="6" t="n">
        <f aca="false">IFERROR(VLOOKUP(C203,BangGiaCuoc!$A$2:$C$9,3,0),0)</f>
        <v>65000</v>
      </c>
      <c r="G203" s="5" t="str">
        <f aca="false">IF(F203=0,"Lỗi mã (Cần kiểm tra)","Hợp lệ")</f>
        <v>Hợp lệ</v>
      </c>
      <c r="H203" s="5" t="s">
        <v>31</v>
      </c>
    </row>
    <row r="204" customFormat="false" ht="18.75" hidden="false" customHeight="true" outlineLevel="0" collapsed="false">
      <c r="A204" s="4" t="n">
        <v>203</v>
      </c>
      <c r="B204" s="3" t="s">
        <v>250</v>
      </c>
      <c r="C204" s="3" t="s">
        <v>18</v>
      </c>
      <c r="D204" s="3" t="s">
        <v>65</v>
      </c>
      <c r="E204" s="7" t="n">
        <v>11.1</v>
      </c>
      <c r="F204" s="4" t="n">
        <f aca="false">IFERROR(VLOOKUP(C204,BangGiaCuoc!$A$2:$C$9,3,0),0)</f>
        <v>90000</v>
      </c>
      <c r="G204" s="3" t="str">
        <f aca="false">IF(F204=0,"Lỗi mã (Cần kiểm tra)","Hợp lệ")</f>
        <v>Hợp lệ</v>
      </c>
      <c r="H204" s="3" t="s">
        <v>31</v>
      </c>
    </row>
    <row r="205" customFormat="false" ht="18.75" hidden="false" customHeight="true" outlineLevel="0" collapsed="false">
      <c r="A205" s="6" t="n">
        <v>204</v>
      </c>
      <c r="B205" s="5" t="s">
        <v>251</v>
      </c>
      <c r="C205" s="5" t="s">
        <v>14</v>
      </c>
      <c r="D205" s="5" t="s">
        <v>53</v>
      </c>
      <c r="E205" s="8" t="n">
        <v>12.2</v>
      </c>
      <c r="F205" s="6" t="n">
        <f aca="false">IFERROR(VLOOKUP(C205,BangGiaCuoc!$A$2:$C$9,3,0),0)</f>
        <v>75000</v>
      </c>
      <c r="G205" s="5" t="str">
        <f aca="false">IF(F205=0,"Lỗi mã (Cần kiểm tra)","Hợp lệ")</f>
        <v>Hợp lệ</v>
      </c>
      <c r="H205" s="5" t="s">
        <v>31</v>
      </c>
    </row>
    <row r="206" customFormat="false" ht="18.75" hidden="false" customHeight="true" outlineLevel="0" collapsed="false">
      <c r="A206" s="4" t="n">
        <v>205</v>
      </c>
      <c r="B206" s="3" t="s">
        <v>252</v>
      </c>
      <c r="C206" s="3" t="s">
        <v>20</v>
      </c>
      <c r="D206" s="3" t="s">
        <v>72</v>
      </c>
      <c r="E206" s="7" t="n">
        <v>6.8</v>
      </c>
      <c r="F206" s="4" t="n">
        <f aca="false">IFERROR(VLOOKUP(C206,BangGiaCuoc!$A$2:$C$9,3,0),0)</f>
        <v>110000</v>
      </c>
      <c r="G206" s="3" t="str">
        <f aca="false">IF(F206=0,"Lỗi mã (Cần kiểm tra)","Hợp lệ")</f>
        <v>Hợp lệ</v>
      </c>
      <c r="H206" s="3" t="s">
        <v>31</v>
      </c>
    </row>
    <row r="207" customFormat="false" ht="18.75" hidden="false" customHeight="true" outlineLevel="0" collapsed="false">
      <c r="A207" s="6" t="n">
        <v>206</v>
      </c>
      <c r="B207" s="5" t="s">
        <v>253</v>
      </c>
      <c r="C207" s="5" t="s">
        <v>14</v>
      </c>
      <c r="D207" s="5" t="s">
        <v>49</v>
      </c>
      <c r="E207" s="8" t="n">
        <v>12.8</v>
      </c>
      <c r="F207" s="6" t="n">
        <f aca="false">IFERROR(VLOOKUP(C207,BangGiaCuoc!$A$2:$C$9,3,0),0)</f>
        <v>75000</v>
      </c>
      <c r="G207" s="5" t="str">
        <f aca="false">IF(F207=0,"Lỗi mã (Cần kiểm tra)","Hợp lệ")</f>
        <v>Hợp lệ</v>
      </c>
      <c r="H207" s="5" t="s">
        <v>31</v>
      </c>
    </row>
    <row r="208" customFormat="false" ht="18.75" hidden="false" customHeight="true" outlineLevel="0" collapsed="false">
      <c r="A208" s="4" t="n">
        <v>207</v>
      </c>
      <c r="B208" s="3" t="s">
        <v>254</v>
      </c>
      <c r="C208" s="3" t="s">
        <v>8</v>
      </c>
      <c r="D208" s="3" t="s">
        <v>58</v>
      </c>
      <c r="E208" s="7" t="n">
        <v>13.3</v>
      </c>
      <c r="F208" s="4" t="n">
        <f aca="false">IFERROR(VLOOKUP(C208,BangGiaCuoc!$A$2:$C$9,3,0),0)</f>
        <v>40000</v>
      </c>
      <c r="G208" s="3" t="str">
        <f aca="false">IF(F208=0,"Lỗi mã (Cần kiểm tra)","Hợp lệ")</f>
        <v>Hợp lệ</v>
      </c>
      <c r="H208" s="3" t="s">
        <v>31</v>
      </c>
    </row>
    <row r="209" customFormat="false" ht="18.75" hidden="false" customHeight="true" outlineLevel="0" collapsed="false">
      <c r="A209" s="6" t="n">
        <v>208</v>
      </c>
      <c r="B209" s="5" t="s">
        <v>255</v>
      </c>
      <c r="C209" s="5" t="s">
        <v>12</v>
      </c>
      <c r="D209" s="5" t="s">
        <v>72</v>
      </c>
      <c r="E209" s="8" t="n">
        <v>8.8</v>
      </c>
      <c r="F209" s="6" t="n">
        <f aca="false">IFERROR(VLOOKUP(C209,BangGiaCuoc!$A$2:$C$9,3,0),0)</f>
        <v>55000</v>
      </c>
      <c r="G209" s="5" t="str">
        <f aca="false">IF(F209=0,"Lỗi mã (Cần kiểm tra)","Hợp lệ")</f>
        <v>Hợp lệ</v>
      </c>
      <c r="H209" s="5" t="s">
        <v>31</v>
      </c>
    </row>
    <row r="210" customFormat="false" ht="18.75" hidden="false" customHeight="true" outlineLevel="0" collapsed="false">
      <c r="A210" s="4" t="n">
        <v>209</v>
      </c>
      <c r="B210" s="3" t="s">
        <v>256</v>
      </c>
      <c r="C210" s="3" t="s">
        <v>18</v>
      </c>
      <c r="D210" s="3" t="s">
        <v>49</v>
      </c>
      <c r="E210" s="7" t="n">
        <v>0.9</v>
      </c>
      <c r="F210" s="4" t="n">
        <f aca="false">IFERROR(VLOOKUP(C210,BangGiaCuoc!$A$2:$C$9,3,0),0)</f>
        <v>90000</v>
      </c>
      <c r="G210" s="3" t="str">
        <f aca="false">IF(F210=0,"Lỗi mã (Cần kiểm tra)","Hợp lệ")</f>
        <v>Hợp lệ</v>
      </c>
      <c r="H210" s="3" t="s">
        <v>31</v>
      </c>
    </row>
    <row r="211" customFormat="false" ht="18.75" hidden="false" customHeight="true" outlineLevel="0" collapsed="false">
      <c r="A211" s="6" t="n">
        <v>210</v>
      </c>
      <c r="B211" s="5" t="s">
        <v>257</v>
      </c>
      <c r="C211" s="5" t="s">
        <v>16</v>
      </c>
      <c r="D211" s="5" t="s">
        <v>65</v>
      </c>
      <c r="E211" s="8" t="n">
        <v>7.6</v>
      </c>
      <c r="F211" s="6" t="n">
        <f aca="false">IFERROR(VLOOKUP(C211,BangGiaCuoc!$A$2:$C$9,3,0),0)</f>
        <v>65000</v>
      </c>
      <c r="G211" s="5" t="str">
        <f aca="false">IF(F211=0,"Lỗi mã (Cần kiểm tra)","Hợp lệ")</f>
        <v>Hợp lệ</v>
      </c>
      <c r="H211" s="5" t="s">
        <v>31</v>
      </c>
    </row>
    <row r="212" customFormat="false" ht="18.75" hidden="false" customHeight="true" outlineLevel="0" collapsed="false">
      <c r="A212" s="4" t="n">
        <v>211</v>
      </c>
      <c r="B212" s="3" t="s">
        <v>258</v>
      </c>
      <c r="C212" s="3" t="s">
        <v>16</v>
      </c>
      <c r="D212" s="3" t="s">
        <v>58</v>
      </c>
      <c r="E212" s="7" t="n">
        <v>5.4</v>
      </c>
      <c r="F212" s="4" t="n">
        <f aca="false">IFERROR(VLOOKUP(C212,BangGiaCuoc!$A$2:$C$9,3,0),0)</f>
        <v>65000</v>
      </c>
      <c r="G212" s="3" t="str">
        <f aca="false">IF(F212=0,"Lỗi mã (Cần kiểm tra)","Hợp lệ")</f>
        <v>Hợp lệ</v>
      </c>
      <c r="H212" s="3" t="s">
        <v>31</v>
      </c>
    </row>
    <row r="213" customFormat="false" ht="18.75" hidden="false" customHeight="true" outlineLevel="0" collapsed="false">
      <c r="A213" s="6" t="n">
        <v>212</v>
      </c>
      <c r="B213" s="5" t="s">
        <v>259</v>
      </c>
      <c r="C213" s="5" t="s">
        <v>14</v>
      </c>
      <c r="D213" s="5" t="s">
        <v>35</v>
      </c>
      <c r="E213" s="8" t="n">
        <v>0.6</v>
      </c>
      <c r="F213" s="6" t="n">
        <f aca="false">IFERROR(VLOOKUP(C213,BangGiaCuoc!$A$2:$C$9,3,0),0)</f>
        <v>75000</v>
      </c>
      <c r="G213" s="5" t="str">
        <f aca="false">IF(F213=0,"Lỗi mã (Cần kiểm tra)","Hợp lệ")</f>
        <v>Hợp lệ</v>
      </c>
      <c r="H213" s="5" t="s">
        <v>31</v>
      </c>
    </row>
    <row r="214" customFormat="false" ht="18.75" hidden="false" customHeight="true" outlineLevel="0" collapsed="false">
      <c r="A214" s="4" t="n">
        <v>213</v>
      </c>
      <c r="B214" s="3" t="s">
        <v>260</v>
      </c>
      <c r="C214" s="3" t="s">
        <v>12</v>
      </c>
      <c r="D214" s="3" t="s">
        <v>47</v>
      </c>
      <c r="E214" s="7" t="n">
        <v>4</v>
      </c>
      <c r="F214" s="4" t="n">
        <f aca="false">IFERROR(VLOOKUP(C214,BangGiaCuoc!$A$2:$C$9,3,0),0)</f>
        <v>55000</v>
      </c>
      <c r="G214" s="3" t="str">
        <f aca="false">IF(F214=0,"Lỗi mã (Cần kiểm tra)","Hợp lệ")</f>
        <v>Hợp lệ</v>
      </c>
      <c r="H214" s="3" t="s">
        <v>31</v>
      </c>
    </row>
    <row r="215" customFormat="false" ht="18.75" hidden="false" customHeight="true" outlineLevel="0" collapsed="false">
      <c r="A215" s="6" t="n">
        <v>214</v>
      </c>
      <c r="B215" s="5" t="s">
        <v>261</v>
      </c>
      <c r="C215" s="5" t="s">
        <v>18</v>
      </c>
      <c r="D215" s="5" t="s">
        <v>72</v>
      </c>
      <c r="E215" s="8" t="n">
        <v>8.6</v>
      </c>
      <c r="F215" s="6" t="n">
        <f aca="false">IFERROR(VLOOKUP(C215,BangGiaCuoc!$A$2:$C$9,3,0),0)</f>
        <v>90000</v>
      </c>
      <c r="G215" s="5" t="str">
        <f aca="false">IF(F215=0,"Lỗi mã (Cần kiểm tra)","Hợp lệ")</f>
        <v>Hợp lệ</v>
      </c>
      <c r="H215" s="5" t="s">
        <v>31</v>
      </c>
    </row>
    <row r="216" customFormat="false" ht="18.75" hidden="false" customHeight="true" outlineLevel="0" collapsed="false">
      <c r="A216" s="4" t="n">
        <v>215</v>
      </c>
      <c r="B216" s="3" t="s">
        <v>262</v>
      </c>
      <c r="C216" s="3" t="s">
        <v>12</v>
      </c>
      <c r="D216" s="3" t="s">
        <v>72</v>
      </c>
      <c r="E216" s="7" t="n">
        <v>9.9</v>
      </c>
      <c r="F216" s="4" t="n">
        <f aca="false">IFERROR(VLOOKUP(C216,BangGiaCuoc!$A$2:$C$9,3,0),0)</f>
        <v>55000</v>
      </c>
      <c r="G216" s="3" t="str">
        <f aca="false">IF(F216=0,"Lỗi mã (Cần kiểm tra)","Hợp lệ")</f>
        <v>Hợp lệ</v>
      </c>
      <c r="H216" s="3" t="s">
        <v>31</v>
      </c>
    </row>
    <row r="217" customFormat="false" ht="18.75" hidden="false" customHeight="true" outlineLevel="0" collapsed="false">
      <c r="A217" s="6" t="n">
        <v>216</v>
      </c>
      <c r="B217" s="5" t="s">
        <v>263</v>
      </c>
      <c r="C217" s="5" t="s">
        <v>20</v>
      </c>
      <c r="D217" s="5" t="s">
        <v>72</v>
      </c>
      <c r="E217" s="8" t="n">
        <v>12</v>
      </c>
      <c r="F217" s="6" t="n">
        <f aca="false">IFERROR(VLOOKUP(C217,BangGiaCuoc!$A$2:$C$9,3,0),0)</f>
        <v>110000</v>
      </c>
      <c r="G217" s="5" t="str">
        <f aca="false">IF(F217=0,"Lỗi mã (Cần kiểm tra)","Hợp lệ")</f>
        <v>Hợp lệ</v>
      </c>
      <c r="H217" s="5" t="s">
        <v>31</v>
      </c>
    </row>
    <row r="218" customFormat="false" ht="18.75" hidden="false" customHeight="true" outlineLevel="0" collapsed="false">
      <c r="A218" s="4" t="n">
        <v>217</v>
      </c>
      <c r="B218" s="3" t="s">
        <v>264</v>
      </c>
      <c r="C218" s="3" t="s">
        <v>8</v>
      </c>
      <c r="D218" s="3" t="s">
        <v>58</v>
      </c>
      <c r="E218" s="7" t="n">
        <v>3.7</v>
      </c>
      <c r="F218" s="4" t="n">
        <f aca="false">IFERROR(VLOOKUP(C218,BangGiaCuoc!$A$2:$C$9,3,0),0)</f>
        <v>40000</v>
      </c>
      <c r="G218" s="3" t="str">
        <f aca="false">IF(F218=0,"Lỗi mã (Cần kiểm tra)","Hợp lệ")</f>
        <v>Hợp lệ</v>
      </c>
      <c r="H218" s="3" t="s">
        <v>31</v>
      </c>
    </row>
    <row r="219" customFormat="false" ht="18.75" hidden="false" customHeight="true" outlineLevel="0" collapsed="false">
      <c r="A219" s="6" t="n">
        <v>218</v>
      </c>
      <c r="B219" s="5" t="s">
        <v>265</v>
      </c>
      <c r="C219" s="5" t="s">
        <v>12</v>
      </c>
      <c r="D219" s="5" t="s">
        <v>58</v>
      </c>
      <c r="E219" s="8" t="n">
        <v>10.1</v>
      </c>
      <c r="F219" s="6" t="n">
        <f aca="false">IFERROR(VLOOKUP(C219,BangGiaCuoc!$A$2:$C$9,3,0),0)</f>
        <v>55000</v>
      </c>
      <c r="G219" s="5" t="str">
        <f aca="false">IF(F219=0,"Lỗi mã (Cần kiểm tra)","Hợp lệ")</f>
        <v>Hợp lệ</v>
      </c>
      <c r="H219" s="5" t="s">
        <v>31</v>
      </c>
    </row>
    <row r="220" customFormat="false" ht="18.75" hidden="false" customHeight="true" outlineLevel="0" collapsed="false">
      <c r="A220" s="4" t="n">
        <v>219</v>
      </c>
      <c r="B220" s="3" t="s">
        <v>266</v>
      </c>
      <c r="C220" s="3" t="s">
        <v>16</v>
      </c>
      <c r="D220" s="3" t="s">
        <v>72</v>
      </c>
      <c r="E220" s="7" t="n">
        <v>8.5</v>
      </c>
      <c r="F220" s="4" t="n">
        <f aca="false">IFERROR(VLOOKUP(C220,BangGiaCuoc!$A$2:$C$9,3,0),0)</f>
        <v>65000</v>
      </c>
      <c r="G220" s="3" t="str">
        <f aca="false">IF(F220=0,"Lỗi mã (Cần kiểm tra)","Hợp lệ")</f>
        <v>Hợp lệ</v>
      </c>
      <c r="H220" s="3" t="s">
        <v>31</v>
      </c>
    </row>
    <row r="221" customFormat="false" ht="18.75" hidden="false" customHeight="true" outlineLevel="0" collapsed="false">
      <c r="A221" s="6" t="n">
        <v>220</v>
      </c>
      <c r="B221" s="5" t="s">
        <v>267</v>
      </c>
      <c r="C221" s="5" t="s">
        <v>16</v>
      </c>
      <c r="D221" s="5" t="s">
        <v>44</v>
      </c>
      <c r="E221" s="8" t="n">
        <v>15</v>
      </c>
      <c r="F221" s="6" t="n">
        <f aca="false">IFERROR(VLOOKUP(C221,BangGiaCuoc!$A$2:$C$9,3,0),0)</f>
        <v>65000</v>
      </c>
      <c r="G221" s="5" t="str">
        <f aca="false">IF(F221=0,"Lỗi mã (Cần kiểm tra)","Hợp lệ")</f>
        <v>Hợp lệ</v>
      </c>
      <c r="H221" s="5" t="s">
        <v>31</v>
      </c>
    </row>
    <row r="222" customFormat="false" ht="18.75" hidden="false" customHeight="true" outlineLevel="0" collapsed="false">
      <c r="A222" s="4" t="n">
        <v>221</v>
      </c>
      <c r="B222" s="3" t="s">
        <v>268</v>
      </c>
      <c r="C222" s="3" t="s">
        <v>16</v>
      </c>
      <c r="D222" s="3" t="s">
        <v>49</v>
      </c>
      <c r="E222" s="7" t="n">
        <v>10.7</v>
      </c>
      <c r="F222" s="4" t="n">
        <f aca="false">IFERROR(VLOOKUP(C222,BangGiaCuoc!$A$2:$C$9,3,0),0)</f>
        <v>65000</v>
      </c>
      <c r="G222" s="3" t="str">
        <f aca="false">IF(F222=0,"Lỗi mã (Cần kiểm tra)","Hợp lệ")</f>
        <v>Hợp lệ</v>
      </c>
      <c r="H222" s="3" t="s">
        <v>31</v>
      </c>
    </row>
    <row r="223" customFormat="false" ht="18.75" hidden="false" customHeight="true" outlineLevel="0" collapsed="false">
      <c r="A223" s="6" t="n">
        <v>222</v>
      </c>
      <c r="B223" s="5" t="s">
        <v>269</v>
      </c>
      <c r="C223" s="5" t="s">
        <v>14</v>
      </c>
      <c r="D223" s="5" t="s">
        <v>58</v>
      </c>
      <c r="E223" s="8" t="n">
        <v>4.1</v>
      </c>
      <c r="F223" s="6" t="n">
        <f aca="false">IFERROR(VLOOKUP(C223,BangGiaCuoc!$A$2:$C$9,3,0),0)</f>
        <v>75000</v>
      </c>
      <c r="G223" s="5" t="str">
        <f aca="false">IF(F223=0,"Lỗi mã (Cần kiểm tra)","Hợp lệ")</f>
        <v>Hợp lệ</v>
      </c>
      <c r="H223" s="5" t="s">
        <v>31</v>
      </c>
    </row>
    <row r="224" customFormat="false" ht="18.75" hidden="false" customHeight="true" outlineLevel="0" collapsed="false">
      <c r="A224" s="4" t="n">
        <v>223</v>
      </c>
      <c r="B224" s="3" t="s">
        <v>270</v>
      </c>
      <c r="C224" s="3" t="s">
        <v>8</v>
      </c>
      <c r="D224" s="3" t="s">
        <v>33</v>
      </c>
      <c r="E224" s="7" t="n">
        <v>5.1</v>
      </c>
      <c r="F224" s="4" t="n">
        <f aca="false">IFERROR(VLOOKUP(C224,BangGiaCuoc!$A$2:$C$9,3,0),0)</f>
        <v>40000</v>
      </c>
      <c r="G224" s="3" t="str">
        <f aca="false">IF(F224=0,"Lỗi mã (Cần kiểm tra)","Hợp lệ")</f>
        <v>Hợp lệ</v>
      </c>
      <c r="H224" s="3" t="s">
        <v>31</v>
      </c>
    </row>
    <row r="225" customFormat="false" ht="18.75" hidden="false" customHeight="true" outlineLevel="0" collapsed="false">
      <c r="A225" s="6" t="n">
        <v>224</v>
      </c>
      <c r="B225" s="5" t="s">
        <v>271</v>
      </c>
      <c r="C225" s="5" t="s">
        <v>10</v>
      </c>
      <c r="D225" s="5" t="s">
        <v>33</v>
      </c>
      <c r="E225" s="8" t="n">
        <v>3.6</v>
      </c>
      <c r="F225" s="6" t="n">
        <f aca="false">IFERROR(VLOOKUP(C225,BangGiaCuoc!$A$2:$C$9,3,0),0)</f>
        <v>32000</v>
      </c>
      <c r="G225" s="5" t="str">
        <f aca="false">IF(F225=0,"Lỗi mã (Cần kiểm tra)","Hợp lệ")</f>
        <v>Hợp lệ</v>
      </c>
      <c r="H225" s="5" t="s">
        <v>31</v>
      </c>
    </row>
    <row r="226" customFormat="false" ht="18.75" hidden="false" customHeight="true" outlineLevel="0" collapsed="false">
      <c r="A226" s="4" t="n">
        <v>225</v>
      </c>
      <c r="B226" s="3" t="s">
        <v>272</v>
      </c>
      <c r="C226" s="3" t="s">
        <v>20</v>
      </c>
      <c r="D226" s="3" t="s">
        <v>58</v>
      </c>
      <c r="E226" s="7" t="n">
        <v>11</v>
      </c>
      <c r="F226" s="4" t="n">
        <f aca="false">IFERROR(VLOOKUP(C226,BangGiaCuoc!$A$2:$C$9,3,0),0)</f>
        <v>110000</v>
      </c>
      <c r="G226" s="3" t="str">
        <f aca="false">IF(F226=0,"Lỗi mã (Cần kiểm tra)","Hợp lệ")</f>
        <v>Hợp lệ</v>
      </c>
      <c r="H226" s="3" t="s">
        <v>31</v>
      </c>
    </row>
    <row r="227" customFormat="false" ht="18.75" hidden="false" customHeight="true" outlineLevel="0" collapsed="false">
      <c r="A227" s="6" t="n">
        <v>226</v>
      </c>
      <c r="B227" s="5" t="s">
        <v>273</v>
      </c>
      <c r="C227" s="5" t="s">
        <v>14</v>
      </c>
      <c r="D227" s="5" t="s">
        <v>47</v>
      </c>
      <c r="E227" s="8" t="n">
        <v>12.6</v>
      </c>
      <c r="F227" s="6" t="n">
        <f aca="false">IFERROR(VLOOKUP(C227,BangGiaCuoc!$A$2:$C$9,3,0),0)</f>
        <v>75000</v>
      </c>
      <c r="G227" s="5" t="str">
        <f aca="false">IF(F227=0,"Lỗi mã (Cần kiểm tra)","Hợp lệ")</f>
        <v>Hợp lệ</v>
      </c>
      <c r="H227" s="5" t="s">
        <v>31</v>
      </c>
    </row>
    <row r="228" customFormat="false" ht="18.75" hidden="false" customHeight="true" outlineLevel="0" collapsed="false">
      <c r="A228" s="4" t="n">
        <v>227</v>
      </c>
      <c r="B228" s="3" t="s">
        <v>274</v>
      </c>
      <c r="C228" s="3" t="s">
        <v>14</v>
      </c>
      <c r="D228" s="3" t="s">
        <v>33</v>
      </c>
      <c r="E228" s="7" t="n">
        <v>5.7</v>
      </c>
      <c r="F228" s="4" t="n">
        <f aca="false">IFERROR(VLOOKUP(C228,BangGiaCuoc!$A$2:$C$9,3,0),0)</f>
        <v>75000</v>
      </c>
      <c r="G228" s="3" t="str">
        <f aca="false">IF(F228=0,"Lỗi mã (Cần kiểm tra)","Hợp lệ")</f>
        <v>Hợp lệ</v>
      </c>
      <c r="H228" s="3" t="s">
        <v>31</v>
      </c>
    </row>
    <row r="229" customFormat="false" ht="18.75" hidden="false" customHeight="true" outlineLevel="0" collapsed="false">
      <c r="A229" s="6" t="n">
        <v>228</v>
      </c>
      <c r="B229" s="5" t="s">
        <v>275</v>
      </c>
      <c r="C229" s="5" t="s">
        <v>14</v>
      </c>
      <c r="D229" s="5" t="s">
        <v>30</v>
      </c>
      <c r="E229" s="8" t="n">
        <v>10.8</v>
      </c>
      <c r="F229" s="6" t="n">
        <f aca="false">IFERROR(VLOOKUP(C229,BangGiaCuoc!$A$2:$C$9,3,0),0)</f>
        <v>75000</v>
      </c>
      <c r="G229" s="5" t="str">
        <f aca="false">IF(F229=0,"Lỗi mã (Cần kiểm tra)","Hợp lệ")</f>
        <v>Hợp lệ</v>
      </c>
      <c r="H229" s="5" t="s">
        <v>31</v>
      </c>
    </row>
    <row r="230" customFormat="false" ht="18.75" hidden="false" customHeight="true" outlineLevel="0" collapsed="false">
      <c r="A230" s="4" t="n">
        <v>229</v>
      </c>
      <c r="B230" s="3" t="s">
        <v>276</v>
      </c>
      <c r="C230" s="3" t="s">
        <v>10</v>
      </c>
      <c r="D230" s="3" t="s">
        <v>58</v>
      </c>
      <c r="E230" s="7" t="n">
        <v>1.2</v>
      </c>
      <c r="F230" s="4" t="n">
        <f aca="false">IFERROR(VLOOKUP(C230,BangGiaCuoc!$A$2:$C$9,3,0),0)</f>
        <v>32000</v>
      </c>
      <c r="G230" s="3" t="str">
        <f aca="false">IF(F230=0,"Lỗi mã (Cần kiểm tra)","Hợp lệ")</f>
        <v>Hợp lệ</v>
      </c>
      <c r="H230" s="3" t="s">
        <v>31</v>
      </c>
    </row>
    <row r="231" customFormat="false" ht="18.75" hidden="false" customHeight="true" outlineLevel="0" collapsed="false">
      <c r="A231" s="6" t="n">
        <v>230</v>
      </c>
      <c r="B231" s="5" t="s">
        <v>277</v>
      </c>
      <c r="C231" s="5" t="s">
        <v>5</v>
      </c>
      <c r="D231" s="5" t="s">
        <v>35</v>
      </c>
      <c r="E231" s="8" t="n">
        <v>4.7</v>
      </c>
      <c r="F231" s="6" t="n">
        <f aca="false">IFERROR(VLOOKUP(C231,BangGiaCuoc!$A$2:$C$9,3,0),0)</f>
        <v>22000</v>
      </c>
      <c r="G231" s="5" t="str">
        <f aca="false">IF(F231=0,"Lỗi mã (Cần kiểm tra)","Hợp lệ")</f>
        <v>Hợp lệ</v>
      </c>
      <c r="H231" s="5" t="s">
        <v>31</v>
      </c>
    </row>
    <row r="232" customFormat="false" ht="18.75" hidden="false" customHeight="true" outlineLevel="0" collapsed="false">
      <c r="A232" s="4" t="n">
        <v>231</v>
      </c>
      <c r="B232" s="3" t="s">
        <v>278</v>
      </c>
      <c r="C232" s="3" t="s">
        <v>10</v>
      </c>
      <c r="D232" s="3" t="s">
        <v>72</v>
      </c>
      <c r="E232" s="7" t="n">
        <v>2</v>
      </c>
      <c r="F232" s="4" t="n">
        <f aca="false">IFERROR(VLOOKUP(C232,BangGiaCuoc!$A$2:$C$9,3,0),0)</f>
        <v>32000</v>
      </c>
      <c r="G232" s="3" t="str">
        <f aca="false">IF(F232=0,"Lỗi mã (Cần kiểm tra)","Hợp lệ")</f>
        <v>Hợp lệ</v>
      </c>
      <c r="H232" s="3" t="s">
        <v>31</v>
      </c>
    </row>
    <row r="233" customFormat="false" ht="18.75" hidden="false" customHeight="true" outlineLevel="0" collapsed="false">
      <c r="A233" s="6" t="n">
        <v>232</v>
      </c>
      <c r="B233" s="5" t="s">
        <v>279</v>
      </c>
      <c r="C233" s="5" t="s">
        <v>5</v>
      </c>
      <c r="D233" s="5" t="s">
        <v>53</v>
      </c>
      <c r="E233" s="8" t="n">
        <v>4.6</v>
      </c>
      <c r="F233" s="6" t="n">
        <f aca="false">IFERROR(VLOOKUP(C233,BangGiaCuoc!$A$2:$C$9,3,0),0)</f>
        <v>22000</v>
      </c>
      <c r="G233" s="5" t="str">
        <f aca="false">IF(F233=0,"Lỗi mã (Cần kiểm tra)","Hợp lệ")</f>
        <v>Hợp lệ</v>
      </c>
      <c r="H233" s="5" t="s">
        <v>31</v>
      </c>
    </row>
    <row r="234" customFormat="false" ht="18.75" hidden="false" customHeight="true" outlineLevel="0" collapsed="false">
      <c r="A234" s="4" t="n">
        <v>233</v>
      </c>
      <c r="B234" s="3" t="s">
        <v>280</v>
      </c>
      <c r="C234" s="3" t="s">
        <v>20</v>
      </c>
      <c r="D234" s="3" t="s">
        <v>72</v>
      </c>
      <c r="E234" s="7" t="n">
        <v>5.4</v>
      </c>
      <c r="F234" s="4" t="n">
        <f aca="false">IFERROR(VLOOKUP(C234,BangGiaCuoc!$A$2:$C$9,3,0),0)</f>
        <v>110000</v>
      </c>
      <c r="G234" s="3" t="str">
        <f aca="false">IF(F234=0,"Lỗi mã (Cần kiểm tra)","Hợp lệ")</f>
        <v>Hợp lệ</v>
      </c>
      <c r="H234" s="3" t="s">
        <v>31</v>
      </c>
    </row>
    <row r="235" customFormat="false" ht="18.75" hidden="false" customHeight="true" outlineLevel="0" collapsed="false">
      <c r="A235" s="6" t="n">
        <v>234</v>
      </c>
      <c r="B235" s="5" t="s">
        <v>281</v>
      </c>
      <c r="C235" s="5" t="s">
        <v>5</v>
      </c>
      <c r="D235" s="5" t="s">
        <v>58</v>
      </c>
      <c r="E235" s="8" t="n">
        <v>14.1</v>
      </c>
      <c r="F235" s="6" t="n">
        <f aca="false">IFERROR(VLOOKUP(C235,BangGiaCuoc!$A$2:$C$9,3,0),0)</f>
        <v>22000</v>
      </c>
      <c r="G235" s="5" t="str">
        <f aca="false">IF(F235=0,"Lỗi mã (Cần kiểm tra)","Hợp lệ")</f>
        <v>Hợp lệ</v>
      </c>
      <c r="H235" s="5" t="s">
        <v>31</v>
      </c>
    </row>
    <row r="236" customFormat="false" ht="18.75" hidden="false" customHeight="true" outlineLevel="0" collapsed="false">
      <c r="A236" s="4" t="n">
        <v>235</v>
      </c>
      <c r="B236" s="3" t="s">
        <v>282</v>
      </c>
      <c r="C236" s="3" t="s">
        <v>20</v>
      </c>
      <c r="D236" s="3" t="s">
        <v>47</v>
      </c>
      <c r="E236" s="7" t="n">
        <v>12.4</v>
      </c>
      <c r="F236" s="4" t="n">
        <f aca="false">IFERROR(VLOOKUP(C236,BangGiaCuoc!$A$2:$C$9,3,0),0)</f>
        <v>110000</v>
      </c>
      <c r="G236" s="3" t="str">
        <f aca="false">IF(F236=0,"Lỗi mã (Cần kiểm tra)","Hợp lệ")</f>
        <v>Hợp lệ</v>
      </c>
      <c r="H236" s="3" t="s">
        <v>31</v>
      </c>
    </row>
    <row r="237" customFormat="false" ht="18.75" hidden="false" customHeight="true" outlineLevel="0" collapsed="false">
      <c r="A237" s="6" t="n">
        <v>236</v>
      </c>
      <c r="B237" s="5" t="s">
        <v>283</v>
      </c>
      <c r="C237" s="5" t="s">
        <v>18</v>
      </c>
      <c r="D237" s="5" t="s">
        <v>72</v>
      </c>
      <c r="E237" s="8" t="n">
        <v>1.6</v>
      </c>
      <c r="F237" s="6" t="n">
        <f aca="false">IFERROR(VLOOKUP(C237,BangGiaCuoc!$A$2:$C$9,3,0),0)</f>
        <v>90000</v>
      </c>
      <c r="G237" s="5" t="str">
        <f aca="false">IF(F237=0,"Lỗi mã (Cần kiểm tra)","Hợp lệ")</f>
        <v>Hợp lệ</v>
      </c>
      <c r="H237" s="5" t="s">
        <v>31</v>
      </c>
    </row>
    <row r="238" customFormat="false" ht="18.75" hidden="false" customHeight="true" outlineLevel="0" collapsed="false">
      <c r="A238" s="4" t="n">
        <v>237</v>
      </c>
      <c r="B238" s="3" t="s">
        <v>284</v>
      </c>
      <c r="C238" s="3" t="s">
        <v>5</v>
      </c>
      <c r="D238" s="3" t="s">
        <v>65</v>
      </c>
      <c r="E238" s="7" t="n">
        <v>2.7</v>
      </c>
      <c r="F238" s="4" t="n">
        <f aca="false">IFERROR(VLOOKUP(C238,BangGiaCuoc!$A$2:$C$9,3,0),0)</f>
        <v>22000</v>
      </c>
      <c r="G238" s="3" t="str">
        <f aca="false">IF(F238=0,"Lỗi mã (Cần kiểm tra)","Hợp lệ")</f>
        <v>Hợp lệ</v>
      </c>
      <c r="H238" s="3" t="s">
        <v>31</v>
      </c>
    </row>
    <row r="239" customFormat="false" ht="18.75" hidden="false" customHeight="true" outlineLevel="0" collapsed="false">
      <c r="A239" s="6" t="n">
        <v>238</v>
      </c>
      <c r="B239" s="5" t="s">
        <v>285</v>
      </c>
      <c r="C239" s="5" t="s">
        <v>14</v>
      </c>
      <c r="D239" s="5" t="s">
        <v>47</v>
      </c>
      <c r="E239" s="8" t="n">
        <v>14.9</v>
      </c>
      <c r="F239" s="6" t="n">
        <f aca="false">IFERROR(VLOOKUP(C239,BangGiaCuoc!$A$2:$C$9,3,0),0)</f>
        <v>75000</v>
      </c>
      <c r="G239" s="5" t="str">
        <f aca="false">IF(F239=0,"Lỗi mã (Cần kiểm tra)","Hợp lệ")</f>
        <v>Hợp lệ</v>
      </c>
      <c r="H239" s="5" t="s">
        <v>31</v>
      </c>
    </row>
    <row r="240" customFormat="false" ht="18.75" hidden="false" customHeight="true" outlineLevel="0" collapsed="false">
      <c r="A240" s="4" t="n">
        <v>239</v>
      </c>
      <c r="B240" s="3" t="s">
        <v>286</v>
      </c>
      <c r="C240" s="3" t="s">
        <v>8</v>
      </c>
      <c r="D240" s="3" t="s">
        <v>35</v>
      </c>
      <c r="E240" s="7" t="n">
        <v>11.6</v>
      </c>
      <c r="F240" s="4" t="n">
        <f aca="false">IFERROR(VLOOKUP(C240,BangGiaCuoc!$A$2:$C$9,3,0),0)</f>
        <v>40000</v>
      </c>
      <c r="G240" s="3" t="str">
        <f aca="false">IF(F240=0,"Lỗi mã (Cần kiểm tra)","Hợp lệ")</f>
        <v>Hợp lệ</v>
      </c>
      <c r="H240" s="3" t="s">
        <v>31</v>
      </c>
    </row>
    <row r="241" customFormat="false" ht="18.75" hidden="false" customHeight="true" outlineLevel="0" collapsed="false">
      <c r="A241" s="6" t="n">
        <v>240</v>
      </c>
      <c r="B241" s="5" t="s">
        <v>287</v>
      </c>
      <c r="C241" s="5" t="s">
        <v>12</v>
      </c>
      <c r="D241" s="5" t="s">
        <v>35</v>
      </c>
      <c r="E241" s="8" t="n">
        <v>6</v>
      </c>
      <c r="F241" s="6" t="n">
        <f aca="false">IFERROR(VLOOKUP(C241,BangGiaCuoc!$A$2:$C$9,3,0),0)</f>
        <v>55000</v>
      </c>
      <c r="G241" s="5" t="str">
        <f aca="false">IF(F241=0,"Lỗi mã (Cần kiểm tra)","Hợp lệ")</f>
        <v>Hợp lệ</v>
      </c>
      <c r="H241" s="5" t="s">
        <v>31</v>
      </c>
    </row>
    <row r="242" customFormat="false" ht="18.75" hidden="false" customHeight="true" outlineLevel="0" collapsed="false">
      <c r="A242" s="4" t="n">
        <v>241</v>
      </c>
      <c r="B242" s="3" t="s">
        <v>288</v>
      </c>
      <c r="C242" s="3" t="s">
        <v>20</v>
      </c>
      <c r="D242" s="3" t="s">
        <v>58</v>
      </c>
      <c r="E242" s="7" t="n">
        <v>13</v>
      </c>
      <c r="F242" s="4" t="n">
        <f aca="false">IFERROR(VLOOKUP(C242,BangGiaCuoc!$A$2:$C$9,3,0),0)</f>
        <v>110000</v>
      </c>
      <c r="G242" s="3" t="str">
        <f aca="false">IF(F242=0,"Lỗi mã (Cần kiểm tra)","Hợp lệ")</f>
        <v>Hợp lệ</v>
      </c>
      <c r="H242" s="3" t="s">
        <v>31</v>
      </c>
    </row>
    <row r="243" customFormat="false" ht="18.75" hidden="false" customHeight="true" outlineLevel="0" collapsed="false">
      <c r="A243" s="6" t="n">
        <v>242</v>
      </c>
      <c r="B243" s="5" t="s">
        <v>289</v>
      </c>
      <c r="C243" s="5" t="s">
        <v>18</v>
      </c>
      <c r="D243" s="5" t="s">
        <v>58</v>
      </c>
      <c r="E243" s="8" t="n">
        <v>8.7</v>
      </c>
      <c r="F243" s="6" t="n">
        <f aca="false">IFERROR(VLOOKUP(C243,BangGiaCuoc!$A$2:$C$9,3,0),0)</f>
        <v>90000</v>
      </c>
      <c r="G243" s="5" t="str">
        <f aca="false">IF(F243=0,"Lỗi mã (Cần kiểm tra)","Hợp lệ")</f>
        <v>Hợp lệ</v>
      </c>
      <c r="H243" s="5" t="s">
        <v>31</v>
      </c>
    </row>
    <row r="244" customFormat="false" ht="18.75" hidden="false" customHeight="true" outlineLevel="0" collapsed="false">
      <c r="A244" s="4" t="n">
        <v>243</v>
      </c>
      <c r="B244" s="3" t="s">
        <v>290</v>
      </c>
      <c r="C244" s="3" t="s">
        <v>5</v>
      </c>
      <c r="D244" s="3" t="s">
        <v>53</v>
      </c>
      <c r="E244" s="7" t="n">
        <v>14.4</v>
      </c>
      <c r="F244" s="4" t="n">
        <f aca="false">IFERROR(VLOOKUP(C244,BangGiaCuoc!$A$2:$C$9,3,0),0)</f>
        <v>22000</v>
      </c>
      <c r="G244" s="3" t="str">
        <f aca="false">IF(F244=0,"Lỗi mã (Cần kiểm tra)","Hợp lệ")</f>
        <v>Hợp lệ</v>
      </c>
      <c r="H244" s="3" t="s">
        <v>31</v>
      </c>
    </row>
    <row r="245" customFormat="false" ht="18.75" hidden="false" customHeight="true" outlineLevel="0" collapsed="false">
      <c r="A245" s="6" t="n">
        <v>244</v>
      </c>
      <c r="B245" s="5" t="s">
        <v>291</v>
      </c>
      <c r="C245" s="5" t="s">
        <v>8</v>
      </c>
      <c r="D245" s="5" t="s">
        <v>33</v>
      </c>
      <c r="E245" s="8" t="n">
        <v>9.6</v>
      </c>
      <c r="F245" s="6" t="n">
        <f aca="false">IFERROR(VLOOKUP(C245,BangGiaCuoc!$A$2:$C$9,3,0),0)</f>
        <v>40000</v>
      </c>
      <c r="G245" s="5" t="str">
        <f aca="false">IF(F245=0,"Lỗi mã (Cần kiểm tra)","Hợp lệ")</f>
        <v>Hợp lệ</v>
      </c>
      <c r="H245" s="5" t="s">
        <v>31</v>
      </c>
    </row>
    <row r="246" customFormat="false" ht="18.75" hidden="false" customHeight="true" outlineLevel="0" collapsed="false">
      <c r="A246" s="4" t="n">
        <v>245</v>
      </c>
      <c r="B246" s="3" t="s">
        <v>292</v>
      </c>
      <c r="C246" s="3" t="s">
        <v>14</v>
      </c>
      <c r="D246" s="3" t="s">
        <v>47</v>
      </c>
      <c r="E246" s="7" t="n">
        <v>2.8</v>
      </c>
      <c r="F246" s="4" t="n">
        <f aca="false">IFERROR(VLOOKUP(C246,BangGiaCuoc!$A$2:$C$9,3,0),0)</f>
        <v>75000</v>
      </c>
      <c r="G246" s="3" t="str">
        <f aca="false">IF(F246=0,"Lỗi mã (Cần kiểm tra)","Hợp lệ")</f>
        <v>Hợp lệ</v>
      </c>
      <c r="H246" s="3" t="s">
        <v>31</v>
      </c>
    </row>
    <row r="247" customFormat="false" ht="18.75" hidden="false" customHeight="true" outlineLevel="0" collapsed="false">
      <c r="A247" s="6" t="n">
        <v>246</v>
      </c>
      <c r="B247" s="5" t="s">
        <v>293</v>
      </c>
      <c r="C247" s="5" t="s">
        <v>10</v>
      </c>
      <c r="D247" s="5" t="s">
        <v>35</v>
      </c>
      <c r="E247" s="8" t="n">
        <v>1.6</v>
      </c>
      <c r="F247" s="6" t="n">
        <f aca="false">IFERROR(VLOOKUP(C247,BangGiaCuoc!$A$2:$C$9,3,0),0)</f>
        <v>32000</v>
      </c>
      <c r="G247" s="5" t="str">
        <f aca="false">IF(F247=0,"Lỗi mã (Cần kiểm tra)","Hợp lệ")</f>
        <v>Hợp lệ</v>
      </c>
      <c r="H247" s="5" t="s">
        <v>31</v>
      </c>
    </row>
    <row r="248" customFormat="false" ht="18.75" hidden="false" customHeight="true" outlineLevel="0" collapsed="false">
      <c r="A248" s="4" t="n">
        <v>247</v>
      </c>
      <c r="B248" s="3" t="s">
        <v>294</v>
      </c>
      <c r="C248" s="3" t="s">
        <v>5</v>
      </c>
      <c r="D248" s="3" t="s">
        <v>44</v>
      </c>
      <c r="E248" s="7" t="n">
        <v>7</v>
      </c>
      <c r="F248" s="4" t="n">
        <f aca="false">IFERROR(VLOOKUP(C248,BangGiaCuoc!$A$2:$C$9,3,0),0)</f>
        <v>22000</v>
      </c>
      <c r="G248" s="3" t="str">
        <f aca="false">IF(F248=0,"Lỗi mã (Cần kiểm tra)","Hợp lệ")</f>
        <v>Hợp lệ</v>
      </c>
      <c r="H248" s="3" t="s">
        <v>31</v>
      </c>
    </row>
    <row r="249" customFormat="false" ht="18.75" hidden="false" customHeight="true" outlineLevel="0" collapsed="false">
      <c r="A249" s="6" t="n">
        <v>248</v>
      </c>
      <c r="B249" s="5" t="s">
        <v>295</v>
      </c>
      <c r="C249" s="5" t="s">
        <v>20</v>
      </c>
      <c r="D249" s="5" t="s">
        <v>58</v>
      </c>
      <c r="E249" s="8" t="n">
        <v>1</v>
      </c>
      <c r="F249" s="6" t="n">
        <f aca="false">IFERROR(VLOOKUP(C249,BangGiaCuoc!$A$2:$C$9,3,0),0)</f>
        <v>110000</v>
      </c>
      <c r="G249" s="5" t="str">
        <f aca="false">IF(F249=0,"Lỗi mã (Cần kiểm tra)","Hợp lệ")</f>
        <v>Hợp lệ</v>
      </c>
      <c r="H249" s="5" t="s">
        <v>31</v>
      </c>
    </row>
    <row r="250" customFormat="false" ht="18.75" hidden="false" customHeight="true" outlineLevel="0" collapsed="false">
      <c r="A250" s="4" t="n">
        <v>249</v>
      </c>
      <c r="B250" s="3" t="s">
        <v>296</v>
      </c>
      <c r="C250" s="3" t="s">
        <v>14</v>
      </c>
      <c r="D250" s="3" t="s">
        <v>58</v>
      </c>
      <c r="E250" s="7" t="n">
        <v>10.7</v>
      </c>
      <c r="F250" s="4" t="n">
        <f aca="false">IFERROR(VLOOKUP(C250,BangGiaCuoc!$A$2:$C$9,3,0),0)</f>
        <v>75000</v>
      </c>
      <c r="G250" s="3" t="str">
        <f aca="false">IF(F250=0,"Lỗi mã (Cần kiểm tra)","Hợp lệ")</f>
        <v>Hợp lệ</v>
      </c>
      <c r="H250" s="3" t="s">
        <v>31</v>
      </c>
    </row>
    <row r="251" customFormat="false" ht="18.75" hidden="false" customHeight="true" outlineLevel="0" collapsed="false">
      <c r="A251" s="6" t="n">
        <v>250</v>
      </c>
      <c r="B251" s="5" t="s">
        <v>297</v>
      </c>
      <c r="C251" s="5" t="s">
        <v>298</v>
      </c>
      <c r="D251" s="5" t="s">
        <v>72</v>
      </c>
      <c r="E251" s="8" t="n">
        <v>1.5</v>
      </c>
      <c r="F251" s="6" t="n">
        <f aca="false">IFERROR(VLOOKUP(C251,BangGiaCuoc!$A$2:$C$9,3,0),0)</f>
        <v>0</v>
      </c>
      <c r="G251" s="5" t="str">
        <f aca="false">IF(F251=0,"Lỗi mã (Cần kiểm tra)","Hợp lệ")</f>
        <v>Lỗi mã (Cần kiểm tra)</v>
      </c>
      <c r="H251" s="5" t="s">
        <v>299</v>
      </c>
    </row>
    <row r="252" customFormat="false" ht="18.75" hidden="false" customHeight="true" outlineLevel="0" collapsed="false">
      <c r="A252" s="4" t="n">
        <v>251</v>
      </c>
      <c r="B252" s="3" t="s">
        <v>300</v>
      </c>
      <c r="C252" s="3" t="s">
        <v>12</v>
      </c>
      <c r="D252" s="3" t="s">
        <v>58</v>
      </c>
      <c r="E252" s="7" t="n">
        <v>11.9</v>
      </c>
      <c r="F252" s="4" t="n">
        <f aca="false">IFERROR(VLOOKUP(C252,BangGiaCuoc!$A$2:$C$9,3,0),0)</f>
        <v>55000</v>
      </c>
      <c r="G252" s="3" t="str">
        <f aca="false">IF(F252=0,"Lỗi mã (Cần kiểm tra)","Hợp lệ")</f>
        <v>Hợp lệ</v>
      </c>
      <c r="H252" s="3" t="s">
        <v>31</v>
      </c>
    </row>
    <row r="253" customFormat="false" ht="18.75" hidden="false" customHeight="true" outlineLevel="0" collapsed="false">
      <c r="A253" s="6" t="n">
        <v>252</v>
      </c>
      <c r="B253" s="5" t="s">
        <v>301</v>
      </c>
      <c r="C253" s="5" t="s">
        <v>12</v>
      </c>
      <c r="D253" s="5" t="s">
        <v>44</v>
      </c>
      <c r="E253" s="8" t="n">
        <v>2.2</v>
      </c>
      <c r="F253" s="6" t="n">
        <f aca="false">IFERROR(VLOOKUP(C253,BangGiaCuoc!$A$2:$C$9,3,0),0)</f>
        <v>55000</v>
      </c>
      <c r="G253" s="5" t="str">
        <f aca="false">IF(F253=0,"Lỗi mã (Cần kiểm tra)","Hợp lệ")</f>
        <v>Hợp lệ</v>
      </c>
      <c r="H253" s="5" t="s">
        <v>31</v>
      </c>
    </row>
    <row r="254" customFormat="false" ht="18.75" hidden="false" customHeight="true" outlineLevel="0" collapsed="false">
      <c r="A254" s="4" t="n">
        <v>253</v>
      </c>
      <c r="B254" s="3" t="s">
        <v>302</v>
      </c>
      <c r="C254" s="3" t="s">
        <v>12</v>
      </c>
      <c r="D254" s="3" t="s">
        <v>65</v>
      </c>
      <c r="E254" s="7" t="n">
        <v>13.7</v>
      </c>
      <c r="F254" s="4" t="n">
        <f aca="false">IFERROR(VLOOKUP(C254,BangGiaCuoc!$A$2:$C$9,3,0),0)</f>
        <v>55000</v>
      </c>
      <c r="G254" s="3" t="str">
        <f aca="false">IF(F254=0,"Lỗi mã (Cần kiểm tra)","Hợp lệ")</f>
        <v>Hợp lệ</v>
      </c>
      <c r="H254" s="3" t="s">
        <v>31</v>
      </c>
    </row>
    <row r="255" customFormat="false" ht="18.75" hidden="false" customHeight="true" outlineLevel="0" collapsed="false">
      <c r="A255" s="6" t="n">
        <v>254</v>
      </c>
      <c r="B255" s="5" t="s">
        <v>303</v>
      </c>
      <c r="C255" s="5" t="s">
        <v>10</v>
      </c>
      <c r="D255" s="5" t="s">
        <v>47</v>
      </c>
      <c r="E255" s="8" t="n">
        <v>1.4</v>
      </c>
      <c r="F255" s="6" t="n">
        <f aca="false">IFERROR(VLOOKUP(C255,BangGiaCuoc!$A$2:$C$9,3,0),0)</f>
        <v>32000</v>
      </c>
      <c r="G255" s="5" t="str">
        <f aca="false">IF(F255=0,"Lỗi mã (Cần kiểm tra)","Hợp lệ")</f>
        <v>Hợp lệ</v>
      </c>
      <c r="H255" s="5" t="s">
        <v>31</v>
      </c>
    </row>
    <row r="256" customFormat="false" ht="18.75" hidden="false" customHeight="true" outlineLevel="0" collapsed="false">
      <c r="A256" s="4" t="n">
        <v>255</v>
      </c>
      <c r="B256" s="3" t="s">
        <v>304</v>
      </c>
      <c r="C256" s="3" t="s">
        <v>14</v>
      </c>
      <c r="D256" s="3" t="s">
        <v>53</v>
      </c>
      <c r="E256" s="7" t="n">
        <v>11.4</v>
      </c>
      <c r="F256" s="4" t="n">
        <f aca="false">IFERROR(VLOOKUP(C256,BangGiaCuoc!$A$2:$C$9,3,0),0)</f>
        <v>75000</v>
      </c>
      <c r="G256" s="3" t="str">
        <f aca="false">IF(F256=0,"Lỗi mã (Cần kiểm tra)","Hợp lệ")</f>
        <v>Hợp lệ</v>
      </c>
      <c r="H256" s="3" t="s">
        <v>31</v>
      </c>
    </row>
    <row r="257" customFormat="false" ht="18.75" hidden="false" customHeight="true" outlineLevel="0" collapsed="false">
      <c r="A257" s="6" t="n">
        <v>256</v>
      </c>
      <c r="B257" s="5" t="s">
        <v>305</v>
      </c>
      <c r="C257" s="5" t="s">
        <v>14</v>
      </c>
      <c r="D257" s="5" t="s">
        <v>72</v>
      </c>
      <c r="E257" s="8" t="n">
        <v>2.3</v>
      </c>
      <c r="F257" s="6" t="n">
        <f aca="false">IFERROR(VLOOKUP(C257,BangGiaCuoc!$A$2:$C$9,3,0),0)</f>
        <v>75000</v>
      </c>
      <c r="G257" s="5" t="str">
        <f aca="false">IF(F257=0,"Lỗi mã (Cần kiểm tra)","Hợp lệ")</f>
        <v>Hợp lệ</v>
      </c>
      <c r="H257" s="5" t="s">
        <v>31</v>
      </c>
    </row>
    <row r="258" customFormat="false" ht="18.75" hidden="false" customHeight="true" outlineLevel="0" collapsed="false">
      <c r="A258" s="4" t="n">
        <v>257</v>
      </c>
      <c r="B258" s="3" t="s">
        <v>306</v>
      </c>
      <c r="C258" s="3" t="s">
        <v>14</v>
      </c>
      <c r="D258" s="3" t="s">
        <v>44</v>
      </c>
      <c r="E258" s="7" t="n">
        <v>14.2</v>
      </c>
      <c r="F258" s="4" t="n">
        <f aca="false">IFERROR(VLOOKUP(C258,BangGiaCuoc!$A$2:$C$9,3,0),0)</f>
        <v>75000</v>
      </c>
      <c r="G258" s="3" t="str">
        <f aca="false">IF(F258=0,"Lỗi mã (Cần kiểm tra)","Hợp lệ")</f>
        <v>Hợp lệ</v>
      </c>
      <c r="H258" s="3" t="s">
        <v>31</v>
      </c>
    </row>
    <row r="259" customFormat="false" ht="18.75" hidden="false" customHeight="true" outlineLevel="0" collapsed="false">
      <c r="A259" s="6" t="n">
        <v>258</v>
      </c>
      <c r="B259" s="5" t="s">
        <v>307</v>
      </c>
      <c r="C259" s="5" t="s">
        <v>20</v>
      </c>
      <c r="D259" s="5" t="s">
        <v>72</v>
      </c>
      <c r="E259" s="8" t="n">
        <v>1.7</v>
      </c>
      <c r="F259" s="6" t="n">
        <f aca="false">IFERROR(VLOOKUP(C259,BangGiaCuoc!$A$2:$C$9,3,0),0)</f>
        <v>110000</v>
      </c>
      <c r="G259" s="5" t="str">
        <f aca="false">IF(F259=0,"Lỗi mã (Cần kiểm tra)","Hợp lệ")</f>
        <v>Hợp lệ</v>
      </c>
      <c r="H259" s="5" t="s">
        <v>31</v>
      </c>
    </row>
    <row r="260" customFormat="false" ht="18.75" hidden="false" customHeight="true" outlineLevel="0" collapsed="false">
      <c r="A260" s="4" t="n">
        <v>259</v>
      </c>
      <c r="B260" s="3" t="s">
        <v>308</v>
      </c>
      <c r="C260" s="3" t="s">
        <v>5</v>
      </c>
      <c r="D260" s="3" t="s">
        <v>44</v>
      </c>
      <c r="E260" s="7" t="n">
        <v>11.2</v>
      </c>
      <c r="F260" s="4" t="n">
        <f aca="false">IFERROR(VLOOKUP(C260,BangGiaCuoc!$A$2:$C$9,3,0),0)</f>
        <v>22000</v>
      </c>
      <c r="G260" s="3" t="str">
        <f aca="false">IF(F260=0,"Lỗi mã (Cần kiểm tra)","Hợp lệ")</f>
        <v>Hợp lệ</v>
      </c>
      <c r="H260" s="3" t="s">
        <v>31</v>
      </c>
    </row>
    <row r="261" customFormat="false" ht="18.75" hidden="false" customHeight="true" outlineLevel="0" collapsed="false">
      <c r="A261" s="6" t="n">
        <v>260</v>
      </c>
      <c r="B261" s="5" t="s">
        <v>309</v>
      </c>
      <c r="C261" s="5" t="s">
        <v>14</v>
      </c>
      <c r="D261" s="5" t="s">
        <v>30</v>
      </c>
      <c r="E261" s="8" t="n">
        <v>1.8</v>
      </c>
      <c r="F261" s="6" t="n">
        <f aca="false">IFERROR(VLOOKUP(C261,BangGiaCuoc!$A$2:$C$9,3,0),0)</f>
        <v>75000</v>
      </c>
      <c r="G261" s="5" t="str">
        <f aca="false">IF(F261=0,"Lỗi mã (Cần kiểm tra)","Hợp lệ")</f>
        <v>Hợp lệ</v>
      </c>
      <c r="H261" s="5" t="s">
        <v>31</v>
      </c>
    </row>
    <row r="262" customFormat="false" ht="18.75" hidden="false" customHeight="true" outlineLevel="0" collapsed="false">
      <c r="A262" s="4" t="n">
        <v>261</v>
      </c>
      <c r="B262" s="3" t="s">
        <v>310</v>
      </c>
      <c r="C262" s="3" t="s">
        <v>5</v>
      </c>
      <c r="D262" s="3" t="s">
        <v>58</v>
      </c>
      <c r="E262" s="7" t="n">
        <v>8.9</v>
      </c>
      <c r="F262" s="4" t="n">
        <f aca="false">IFERROR(VLOOKUP(C262,BangGiaCuoc!$A$2:$C$9,3,0),0)</f>
        <v>22000</v>
      </c>
      <c r="G262" s="3" t="str">
        <f aca="false">IF(F262=0,"Lỗi mã (Cần kiểm tra)","Hợp lệ")</f>
        <v>Hợp lệ</v>
      </c>
      <c r="H262" s="3" t="s">
        <v>31</v>
      </c>
    </row>
    <row r="263" customFormat="false" ht="18.75" hidden="false" customHeight="true" outlineLevel="0" collapsed="false">
      <c r="A263" s="6" t="n">
        <v>262</v>
      </c>
      <c r="B263" s="5" t="s">
        <v>311</v>
      </c>
      <c r="C263" s="5" t="s">
        <v>10</v>
      </c>
      <c r="D263" s="5" t="s">
        <v>72</v>
      </c>
      <c r="E263" s="8" t="n">
        <v>8</v>
      </c>
      <c r="F263" s="6" t="n">
        <f aca="false">IFERROR(VLOOKUP(C263,BangGiaCuoc!$A$2:$C$9,3,0),0)</f>
        <v>32000</v>
      </c>
      <c r="G263" s="5" t="str">
        <f aca="false">IF(F263=0,"Lỗi mã (Cần kiểm tra)","Hợp lệ")</f>
        <v>Hợp lệ</v>
      </c>
      <c r="H263" s="5" t="s">
        <v>31</v>
      </c>
    </row>
    <row r="264" customFormat="false" ht="18.75" hidden="false" customHeight="true" outlineLevel="0" collapsed="false">
      <c r="A264" s="4" t="n">
        <v>263</v>
      </c>
      <c r="B264" s="3" t="s">
        <v>312</v>
      </c>
      <c r="C264" s="3" t="s">
        <v>20</v>
      </c>
      <c r="D264" s="3" t="s">
        <v>58</v>
      </c>
      <c r="E264" s="7" t="n">
        <v>3.1</v>
      </c>
      <c r="F264" s="4" t="n">
        <f aca="false">IFERROR(VLOOKUP(C264,BangGiaCuoc!$A$2:$C$9,3,0),0)</f>
        <v>110000</v>
      </c>
      <c r="G264" s="3" t="str">
        <f aca="false">IF(F264=0,"Lỗi mã (Cần kiểm tra)","Hợp lệ")</f>
        <v>Hợp lệ</v>
      </c>
      <c r="H264" s="3" t="s">
        <v>31</v>
      </c>
    </row>
    <row r="265" customFormat="false" ht="18.75" hidden="false" customHeight="true" outlineLevel="0" collapsed="false">
      <c r="A265" s="6" t="n">
        <v>264</v>
      </c>
      <c r="B265" s="5" t="s">
        <v>313</v>
      </c>
      <c r="C265" s="5" t="s">
        <v>18</v>
      </c>
      <c r="D265" s="5" t="s">
        <v>72</v>
      </c>
      <c r="E265" s="8" t="n">
        <v>14.6</v>
      </c>
      <c r="F265" s="6" t="n">
        <f aca="false">IFERROR(VLOOKUP(C265,BangGiaCuoc!$A$2:$C$9,3,0),0)</f>
        <v>90000</v>
      </c>
      <c r="G265" s="5" t="str">
        <f aca="false">IF(F265=0,"Lỗi mã (Cần kiểm tra)","Hợp lệ")</f>
        <v>Hợp lệ</v>
      </c>
      <c r="H265" s="5" t="s">
        <v>31</v>
      </c>
    </row>
    <row r="266" customFormat="false" ht="18.75" hidden="false" customHeight="true" outlineLevel="0" collapsed="false">
      <c r="A266" s="4" t="n">
        <v>265</v>
      </c>
      <c r="B266" s="3" t="s">
        <v>314</v>
      </c>
      <c r="C266" s="3" t="s">
        <v>20</v>
      </c>
      <c r="D266" s="3" t="s">
        <v>49</v>
      </c>
      <c r="E266" s="7" t="n">
        <v>6.4</v>
      </c>
      <c r="F266" s="4" t="n">
        <f aca="false">IFERROR(VLOOKUP(C266,BangGiaCuoc!$A$2:$C$9,3,0),0)</f>
        <v>110000</v>
      </c>
      <c r="G266" s="3" t="str">
        <f aca="false">IF(F266=0,"Lỗi mã (Cần kiểm tra)","Hợp lệ")</f>
        <v>Hợp lệ</v>
      </c>
      <c r="H266" s="3" t="s">
        <v>31</v>
      </c>
    </row>
    <row r="267" customFormat="false" ht="18.75" hidden="false" customHeight="true" outlineLevel="0" collapsed="false">
      <c r="A267" s="6" t="n">
        <v>266</v>
      </c>
      <c r="B267" s="5" t="s">
        <v>315</v>
      </c>
      <c r="C267" s="5" t="s">
        <v>16</v>
      </c>
      <c r="D267" s="5" t="s">
        <v>47</v>
      </c>
      <c r="E267" s="8" t="n">
        <v>12.9</v>
      </c>
      <c r="F267" s="6" t="n">
        <f aca="false">IFERROR(VLOOKUP(C267,BangGiaCuoc!$A$2:$C$9,3,0),0)</f>
        <v>65000</v>
      </c>
      <c r="G267" s="5" t="str">
        <f aca="false">IF(F267=0,"Lỗi mã (Cần kiểm tra)","Hợp lệ")</f>
        <v>Hợp lệ</v>
      </c>
      <c r="H267" s="5" t="s">
        <v>31</v>
      </c>
    </row>
    <row r="268" customFormat="false" ht="18.75" hidden="false" customHeight="true" outlineLevel="0" collapsed="false">
      <c r="A268" s="4" t="n">
        <v>267</v>
      </c>
      <c r="B268" s="3" t="s">
        <v>316</v>
      </c>
      <c r="C268" s="3" t="s">
        <v>16</v>
      </c>
      <c r="D268" s="3" t="s">
        <v>44</v>
      </c>
      <c r="E268" s="7" t="n">
        <v>10.6</v>
      </c>
      <c r="F268" s="4" t="n">
        <f aca="false">IFERROR(VLOOKUP(C268,BangGiaCuoc!$A$2:$C$9,3,0),0)</f>
        <v>65000</v>
      </c>
      <c r="G268" s="3" t="str">
        <f aca="false">IF(F268=0,"Lỗi mã (Cần kiểm tra)","Hợp lệ")</f>
        <v>Hợp lệ</v>
      </c>
      <c r="H268" s="3" t="s">
        <v>31</v>
      </c>
    </row>
    <row r="269" customFormat="false" ht="18.75" hidden="false" customHeight="true" outlineLevel="0" collapsed="false">
      <c r="A269" s="6" t="n">
        <v>268</v>
      </c>
      <c r="B269" s="5" t="s">
        <v>317</v>
      </c>
      <c r="C269" s="5" t="s">
        <v>14</v>
      </c>
      <c r="D269" s="5" t="s">
        <v>44</v>
      </c>
      <c r="E269" s="8" t="n">
        <v>12.3</v>
      </c>
      <c r="F269" s="6" t="n">
        <f aca="false">IFERROR(VLOOKUP(C269,BangGiaCuoc!$A$2:$C$9,3,0),0)</f>
        <v>75000</v>
      </c>
      <c r="G269" s="5" t="str">
        <f aca="false">IF(F269=0,"Lỗi mã (Cần kiểm tra)","Hợp lệ")</f>
        <v>Hợp lệ</v>
      </c>
      <c r="H269" s="5" t="s">
        <v>31</v>
      </c>
    </row>
    <row r="270" customFormat="false" ht="18.75" hidden="false" customHeight="true" outlineLevel="0" collapsed="false">
      <c r="A270" s="4" t="n">
        <v>269</v>
      </c>
      <c r="B270" s="3" t="s">
        <v>318</v>
      </c>
      <c r="C270" s="3" t="s">
        <v>5</v>
      </c>
      <c r="D270" s="3" t="s">
        <v>72</v>
      </c>
      <c r="E270" s="7" t="n">
        <v>1.8</v>
      </c>
      <c r="F270" s="4" t="n">
        <f aca="false">IFERROR(VLOOKUP(C270,BangGiaCuoc!$A$2:$C$9,3,0),0)</f>
        <v>22000</v>
      </c>
      <c r="G270" s="3" t="str">
        <f aca="false">IF(F270=0,"Lỗi mã (Cần kiểm tra)","Hợp lệ")</f>
        <v>Hợp lệ</v>
      </c>
      <c r="H270" s="3" t="s">
        <v>31</v>
      </c>
    </row>
    <row r="271" customFormat="false" ht="18.75" hidden="false" customHeight="true" outlineLevel="0" collapsed="false">
      <c r="A271" s="6" t="n">
        <v>270</v>
      </c>
      <c r="B271" s="5" t="s">
        <v>319</v>
      </c>
      <c r="C271" s="5" t="s">
        <v>14</v>
      </c>
      <c r="D271" s="5" t="s">
        <v>49</v>
      </c>
      <c r="E271" s="8" t="n">
        <v>2.2</v>
      </c>
      <c r="F271" s="6" t="n">
        <f aca="false">IFERROR(VLOOKUP(C271,BangGiaCuoc!$A$2:$C$9,3,0),0)</f>
        <v>75000</v>
      </c>
      <c r="G271" s="5" t="str">
        <f aca="false">IF(F271=0,"Lỗi mã (Cần kiểm tra)","Hợp lệ")</f>
        <v>Hợp lệ</v>
      </c>
      <c r="H271" s="5" t="s">
        <v>31</v>
      </c>
    </row>
    <row r="272" customFormat="false" ht="18.75" hidden="false" customHeight="true" outlineLevel="0" collapsed="false">
      <c r="A272" s="4" t="n">
        <v>271</v>
      </c>
      <c r="B272" s="3" t="s">
        <v>320</v>
      </c>
      <c r="C272" s="3" t="s">
        <v>18</v>
      </c>
      <c r="D272" s="3" t="s">
        <v>35</v>
      </c>
      <c r="E272" s="7" t="n">
        <v>12.5</v>
      </c>
      <c r="F272" s="4" t="n">
        <f aca="false">IFERROR(VLOOKUP(C272,BangGiaCuoc!$A$2:$C$9,3,0),0)</f>
        <v>90000</v>
      </c>
      <c r="G272" s="3" t="str">
        <f aca="false">IF(F272=0,"Lỗi mã (Cần kiểm tra)","Hợp lệ")</f>
        <v>Hợp lệ</v>
      </c>
      <c r="H272" s="3" t="s">
        <v>31</v>
      </c>
    </row>
    <row r="273" customFormat="false" ht="18.75" hidden="false" customHeight="true" outlineLevel="0" collapsed="false">
      <c r="A273" s="6" t="n">
        <v>272</v>
      </c>
      <c r="B273" s="5" t="s">
        <v>321</v>
      </c>
      <c r="C273" s="5" t="s">
        <v>5</v>
      </c>
      <c r="D273" s="5" t="s">
        <v>35</v>
      </c>
      <c r="E273" s="8" t="n">
        <v>7.2</v>
      </c>
      <c r="F273" s="6" t="n">
        <f aca="false">IFERROR(VLOOKUP(C273,BangGiaCuoc!$A$2:$C$9,3,0),0)</f>
        <v>22000</v>
      </c>
      <c r="G273" s="5" t="str">
        <f aca="false">IF(F273=0,"Lỗi mã (Cần kiểm tra)","Hợp lệ")</f>
        <v>Hợp lệ</v>
      </c>
      <c r="H273" s="5" t="s">
        <v>31</v>
      </c>
    </row>
    <row r="274" customFormat="false" ht="18.75" hidden="false" customHeight="true" outlineLevel="0" collapsed="false">
      <c r="A274" s="4" t="n">
        <v>273</v>
      </c>
      <c r="B274" s="3" t="s">
        <v>322</v>
      </c>
      <c r="C274" s="3" t="s">
        <v>5</v>
      </c>
      <c r="D274" s="3" t="s">
        <v>33</v>
      </c>
      <c r="E274" s="7" t="n">
        <v>8</v>
      </c>
      <c r="F274" s="4" t="n">
        <f aca="false">IFERROR(VLOOKUP(C274,BangGiaCuoc!$A$2:$C$9,3,0),0)</f>
        <v>22000</v>
      </c>
      <c r="G274" s="3" t="str">
        <f aca="false">IF(F274=0,"Lỗi mã (Cần kiểm tra)","Hợp lệ")</f>
        <v>Hợp lệ</v>
      </c>
      <c r="H274" s="3" t="s">
        <v>31</v>
      </c>
    </row>
    <row r="275" customFormat="false" ht="18.75" hidden="false" customHeight="true" outlineLevel="0" collapsed="false">
      <c r="A275" s="6" t="n">
        <v>274</v>
      </c>
      <c r="B275" s="5" t="s">
        <v>323</v>
      </c>
      <c r="C275" s="5" t="s">
        <v>20</v>
      </c>
      <c r="D275" s="5" t="s">
        <v>72</v>
      </c>
      <c r="E275" s="8" t="n">
        <v>11.5</v>
      </c>
      <c r="F275" s="6" t="n">
        <f aca="false">IFERROR(VLOOKUP(C275,BangGiaCuoc!$A$2:$C$9,3,0),0)</f>
        <v>110000</v>
      </c>
      <c r="G275" s="5" t="str">
        <f aca="false">IF(F275=0,"Lỗi mã (Cần kiểm tra)","Hợp lệ")</f>
        <v>Hợp lệ</v>
      </c>
      <c r="H275" s="5" t="s">
        <v>31</v>
      </c>
    </row>
    <row r="276" customFormat="false" ht="18.75" hidden="false" customHeight="true" outlineLevel="0" collapsed="false">
      <c r="A276" s="4" t="n">
        <v>275</v>
      </c>
      <c r="B276" s="3" t="s">
        <v>324</v>
      </c>
      <c r="C276" s="3" t="s">
        <v>12</v>
      </c>
      <c r="D276" s="3" t="s">
        <v>58</v>
      </c>
      <c r="E276" s="7" t="n">
        <v>8.5</v>
      </c>
      <c r="F276" s="4" t="n">
        <f aca="false">IFERROR(VLOOKUP(C276,BangGiaCuoc!$A$2:$C$9,3,0),0)</f>
        <v>55000</v>
      </c>
      <c r="G276" s="3" t="str">
        <f aca="false">IF(F276=0,"Lỗi mã (Cần kiểm tra)","Hợp lệ")</f>
        <v>Hợp lệ</v>
      </c>
      <c r="H276" s="3" t="s">
        <v>31</v>
      </c>
    </row>
    <row r="277" customFormat="false" ht="18.75" hidden="false" customHeight="true" outlineLevel="0" collapsed="false">
      <c r="A277" s="6" t="n">
        <v>276</v>
      </c>
      <c r="B277" s="5" t="s">
        <v>325</v>
      </c>
      <c r="C277" s="5" t="s">
        <v>14</v>
      </c>
      <c r="D277" s="5" t="s">
        <v>72</v>
      </c>
      <c r="E277" s="8" t="n">
        <v>13.3</v>
      </c>
      <c r="F277" s="6" t="n">
        <f aca="false">IFERROR(VLOOKUP(C277,BangGiaCuoc!$A$2:$C$9,3,0),0)</f>
        <v>75000</v>
      </c>
      <c r="G277" s="5" t="str">
        <f aca="false">IF(F277=0,"Lỗi mã (Cần kiểm tra)","Hợp lệ")</f>
        <v>Hợp lệ</v>
      </c>
      <c r="H277" s="5" t="s">
        <v>31</v>
      </c>
    </row>
    <row r="278" customFormat="false" ht="18.75" hidden="false" customHeight="true" outlineLevel="0" collapsed="false">
      <c r="A278" s="4" t="n">
        <v>277</v>
      </c>
      <c r="B278" s="3" t="s">
        <v>326</v>
      </c>
      <c r="C278" s="3" t="s">
        <v>20</v>
      </c>
      <c r="D278" s="3" t="s">
        <v>47</v>
      </c>
      <c r="E278" s="7" t="n">
        <v>0.9</v>
      </c>
      <c r="F278" s="4" t="n">
        <f aca="false">IFERROR(VLOOKUP(C278,BangGiaCuoc!$A$2:$C$9,3,0),0)</f>
        <v>110000</v>
      </c>
      <c r="G278" s="3" t="str">
        <f aca="false">IF(F278=0,"Lỗi mã (Cần kiểm tra)","Hợp lệ")</f>
        <v>Hợp lệ</v>
      </c>
      <c r="H278" s="3" t="s">
        <v>31</v>
      </c>
    </row>
    <row r="279" customFormat="false" ht="18.75" hidden="false" customHeight="true" outlineLevel="0" collapsed="false">
      <c r="A279" s="6" t="n">
        <v>278</v>
      </c>
      <c r="B279" s="5" t="s">
        <v>327</v>
      </c>
      <c r="C279" s="5" t="s">
        <v>12</v>
      </c>
      <c r="D279" s="5" t="s">
        <v>65</v>
      </c>
      <c r="E279" s="8" t="n">
        <v>5</v>
      </c>
      <c r="F279" s="6" t="n">
        <f aca="false">IFERROR(VLOOKUP(C279,BangGiaCuoc!$A$2:$C$9,3,0),0)</f>
        <v>55000</v>
      </c>
      <c r="G279" s="5" t="str">
        <f aca="false">IF(F279=0,"Lỗi mã (Cần kiểm tra)","Hợp lệ")</f>
        <v>Hợp lệ</v>
      </c>
      <c r="H279" s="5" t="s">
        <v>31</v>
      </c>
    </row>
    <row r="280" customFormat="false" ht="18.75" hidden="false" customHeight="true" outlineLevel="0" collapsed="false">
      <c r="A280" s="4" t="n">
        <v>279</v>
      </c>
      <c r="B280" s="3" t="s">
        <v>328</v>
      </c>
      <c r="C280" s="3" t="s">
        <v>5</v>
      </c>
      <c r="D280" s="3" t="s">
        <v>35</v>
      </c>
      <c r="E280" s="7" t="n">
        <v>6.4</v>
      </c>
      <c r="F280" s="4" t="n">
        <f aca="false">IFERROR(VLOOKUP(C280,BangGiaCuoc!$A$2:$C$9,3,0),0)</f>
        <v>22000</v>
      </c>
      <c r="G280" s="3" t="str">
        <f aca="false">IF(F280=0,"Lỗi mã (Cần kiểm tra)","Hợp lệ")</f>
        <v>Hợp lệ</v>
      </c>
      <c r="H280" s="3" t="s">
        <v>31</v>
      </c>
    </row>
    <row r="281" customFormat="false" ht="18.75" hidden="false" customHeight="true" outlineLevel="0" collapsed="false">
      <c r="A281" s="6" t="n">
        <v>280</v>
      </c>
      <c r="B281" s="5" t="s">
        <v>329</v>
      </c>
      <c r="C281" s="5" t="s">
        <v>12</v>
      </c>
      <c r="D281" s="5" t="s">
        <v>47</v>
      </c>
      <c r="E281" s="8" t="n">
        <v>7.2</v>
      </c>
      <c r="F281" s="6" t="n">
        <f aca="false">IFERROR(VLOOKUP(C281,BangGiaCuoc!$A$2:$C$9,3,0),0)</f>
        <v>55000</v>
      </c>
      <c r="G281" s="5" t="str">
        <f aca="false">IF(F281=0,"Lỗi mã (Cần kiểm tra)","Hợp lệ")</f>
        <v>Hợp lệ</v>
      </c>
      <c r="H281" s="5" t="s">
        <v>31</v>
      </c>
    </row>
    <row r="282" customFormat="false" ht="18.75" hidden="false" customHeight="true" outlineLevel="0" collapsed="false">
      <c r="A282" s="4" t="n">
        <v>281</v>
      </c>
      <c r="B282" s="3" t="s">
        <v>330</v>
      </c>
      <c r="C282" s="3" t="s">
        <v>8</v>
      </c>
      <c r="D282" s="3" t="s">
        <v>65</v>
      </c>
      <c r="E282" s="7" t="n">
        <v>7.7</v>
      </c>
      <c r="F282" s="4" t="n">
        <f aca="false">IFERROR(VLOOKUP(C282,BangGiaCuoc!$A$2:$C$9,3,0),0)</f>
        <v>40000</v>
      </c>
      <c r="G282" s="3" t="str">
        <f aca="false">IF(F282=0,"Lỗi mã (Cần kiểm tra)","Hợp lệ")</f>
        <v>Hợp lệ</v>
      </c>
      <c r="H282" s="3" t="s">
        <v>31</v>
      </c>
    </row>
    <row r="283" customFormat="false" ht="18.75" hidden="false" customHeight="true" outlineLevel="0" collapsed="false">
      <c r="A283" s="6" t="n">
        <v>282</v>
      </c>
      <c r="B283" s="5" t="s">
        <v>331</v>
      </c>
      <c r="C283" s="5" t="s">
        <v>14</v>
      </c>
      <c r="D283" s="5" t="s">
        <v>35</v>
      </c>
      <c r="E283" s="8" t="n">
        <v>10.7</v>
      </c>
      <c r="F283" s="6" t="n">
        <f aca="false">IFERROR(VLOOKUP(C283,BangGiaCuoc!$A$2:$C$9,3,0),0)</f>
        <v>75000</v>
      </c>
      <c r="G283" s="5" t="str">
        <f aca="false">IF(F283=0,"Lỗi mã (Cần kiểm tra)","Hợp lệ")</f>
        <v>Hợp lệ</v>
      </c>
      <c r="H283" s="5" t="s">
        <v>31</v>
      </c>
    </row>
    <row r="284" customFormat="false" ht="18.75" hidden="false" customHeight="true" outlineLevel="0" collapsed="false">
      <c r="A284" s="4" t="n">
        <v>283</v>
      </c>
      <c r="B284" s="3" t="s">
        <v>332</v>
      </c>
      <c r="C284" s="3" t="s">
        <v>18</v>
      </c>
      <c r="D284" s="3" t="s">
        <v>72</v>
      </c>
      <c r="E284" s="7" t="n">
        <v>14.7</v>
      </c>
      <c r="F284" s="4" t="n">
        <f aca="false">IFERROR(VLOOKUP(C284,BangGiaCuoc!$A$2:$C$9,3,0),0)</f>
        <v>90000</v>
      </c>
      <c r="G284" s="3" t="str">
        <f aca="false">IF(F284=0,"Lỗi mã (Cần kiểm tra)","Hợp lệ")</f>
        <v>Hợp lệ</v>
      </c>
      <c r="H284" s="3" t="s">
        <v>31</v>
      </c>
    </row>
    <row r="285" customFormat="false" ht="18.75" hidden="false" customHeight="true" outlineLevel="0" collapsed="false">
      <c r="A285" s="6" t="n">
        <v>284</v>
      </c>
      <c r="B285" s="5" t="s">
        <v>333</v>
      </c>
      <c r="C285" s="5" t="s">
        <v>12</v>
      </c>
      <c r="D285" s="5" t="s">
        <v>72</v>
      </c>
      <c r="E285" s="8" t="n">
        <v>8.5</v>
      </c>
      <c r="F285" s="6" t="n">
        <f aca="false">IFERROR(VLOOKUP(C285,BangGiaCuoc!$A$2:$C$9,3,0),0)</f>
        <v>55000</v>
      </c>
      <c r="G285" s="5" t="str">
        <f aca="false">IF(F285=0,"Lỗi mã (Cần kiểm tra)","Hợp lệ")</f>
        <v>Hợp lệ</v>
      </c>
      <c r="H285" s="5" t="s">
        <v>31</v>
      </c>
    </row>
    <row r="286" customFormat="false" ht="18.75" hidden="false" customHeight="true" outlineLevel="0" collapsed="false">
      <c r="A286" s="4" t="n">
        <v>285</v>
      </c>
      <c r="B286" s="3" t="s">
        <v>334</v>
      </c>
      <c r="C286" s="3" t="s">
        <v>18</v>
      </c>
      <c r="D286" s="3" t="s">
        <v>33</v>
      </c>
      <c r="E286" s="7" t="n">
        <v>13.9</v>
      </c>
      <c r="F286" s="4" t="n">
        <f aca="false">IFERROR(VLOOKUP(C286,BangGiaCuoc!$A$2:$C$9,3,0),0)</f>
        <v>90000</v>
      </c>
      <c r="G286" s="3" t="str">
        <f aca="false">IF(F286=0,"Lỗi mã (Cần kiểm tra)","Hợp lệ")</f>
        <v>Hợp lệ</v>
      </c>
      <c r="H286" s="3" t="s">
        <v>31</v>
      </c>
    </row>
    <row r="287" customFormat="false" ht="18.75" hidden="false" customHeight="true" outlineLevel="0" collapsed="false">
      <c r="A287" s="6" t="n">
        <v>286</v>
      </c>
      <c r="B287" s="5" t="s">
        <v>335</v>
      </c>
      <c r="C287" s="5" t="s">
        <v>10</v>
      </c>
      <c r="D287" s="5" t="s">
        <v>47</v>
      </c>
      <c r="E287" s="8" t="n">
        <v>4.5</v>
      </c>
      <c r="F287" s="6" t="n">
        <f aca="false">IFERROR(VLOOKUP(C287,BangGiaCuoc!$A$2:$C$9,3,0),0)</f>
        <v>32000</v>
      </c>
      <c r="G287" s="5" t="str">
        <f aca="false">IF(F287=0,"Lỗi mã (Cần kiểm tra)","Hợp lệ")</f>
        <v>Hợp lệ</v>
      </c>
      <c r="H287" s="5" t="s">
        <v>31</v>
      </c>
    </row>
    <row r="288" customFormat="false" ht="18.75" hidden="false" customHeight="true" outlineLevel="0" collapsed="false">
      <c r="A288" s="4" t="n">
        <v>287</v>
      </c>
      <c r="B288" s="3" t="s">
        <v>336</v>
      </c>
      <c r="C288" s="3" t="s">
        <v>18</v>
      </c>
      <c r="D288" s="3" t="s">
        <v>49</v>
      </c>
      <c r="E288" s="7" t="n">
        <v>14</v>
      </c>
      <c r="F288" s="4" t="n">
        <f aca="false">IFERROR(VLOOKUP(C288,BangGiaCuoc!$A$2:$C$9,3,0),0)</f>
        <v>90000</v>
      </c>
      <c r="G288" s="3" t="str">
        <f aca="false">IF(F288=0,"Lỗi mã (Cần kiểm tra)","Hợp lệ")</f>
        <v>Hợp lệ</v>
      </c>
      <c r="H288" s="3" t="s">
        <v>31</v>
      </c>
    </row>
    <row r="289" customFormat="false" ht="18.75" hidden="false" customHeight="true" outlineLevel="0" collapsed="false">
      <c r="A289" s="6" t="n">
        <v>288</v>
      </c>
      <c r="B289" s="5" t="s">
        <v>337</v>
      </c>
      <c r="C289" s="5" t="s">
        <v>14</v>
      </c>
      <c r="D289" s="5" t="s">
        <v>30</v>
      </c>
      <c r="E289" s="8" t="n">
        <v>4.6</v>
      </c>
      <c r="F289" s="6" t="n">
        <f aca="false">IFERROR(VLOOKUP(C289,BangGiaCuoc!$A$2:$C$9,3,0),0)</f>
        <v>75000</v>
      </c>
      <c r="G289" s="5" t="str">
        <f aca="false">IF(F289=0,"Lỗi mã (Cần kiểm tra)","Hợp lệ")</f>
        <v>Hợp lệ</v>
      </c>
      <c r="H289" s="5" t="s">
        <v>31</v>
      </c>
    </row>
    <row r="290" customFormat="false" ht="18.75" hidden="false" customHeight="true" outlineLevel="0" collapsed="false">
      <c r="A290" s="4" t="n">
        <v>289</v>
      </c>
      <c r="B290" s="3" t="s">
        <v>338</v>
      </c>
      <c r="C290" s="3" t="s">
        <v>14</v>
      </c>
      <c r="D290" s="3" t="s">
        <v>53</v>
      </c>
      <c r="E290" s="7" t="n">
        <v>8.9</v>
      </c>
      <c r="F290" s="4" t="n">
        <f aca="false">IFERROR(VLOOKUP(C290,BangGiaCuoc!$A$2:$C$9,3,0),0)</f>
        <v>75000</v>
      </c>
      <c r="G290" s="3" t="str">
        <f aca="false">IF(F290=0,"Lỗi mã (Cần kiểm tra)","Hợp lệ")</f>
        <v>Hợp lệ</v>
      </c>
      <c r="H290" s="3" t="s">
        <v>31</v>
      </c>
    </row>
    <row r="291" customFormat="false" ht="18.75" hidden="false" customHeight="true" outlineLevel="0" collapsed="false">
      <c r="A291" s="6" t="n">
        <v>290</v>
      </c>
      <c r="B291" s="5" t="s">
        <v>339</v>
      </c>
      <c r="C291" s="5" t="s">
        <v>20</v>
      </c>
      <c r="D291" s="5" t="s">
        <v>65</v>
      </c>
      <c r="E291" s="8" t="n">
        <v>7</v>
      </c>
      <c r="F291" s="6" t="n">
        <f aca="false">IFERROR(VLOOKUP(C291,BangGiaCuoc!$A$2:$C$9,3,0),0)</f>
        <v>110000</v>
      </c>
      <c r="G291" s="5" t="str">
        <f aca="false">IF(F291=0,"Lỗi mã (Cần kiểm tra)","Hợp lệ")</f>
        <v>Hợp lệ</v>
      </c>
      <c r="H291" s="5" t="s">
        <v>31</v>
      </c>
    </row>
    <row r="292" customFormat="false" ht="18.75" hidden="false" customHeight="true" outlineLevel="0" collapsed="false">
      <c r="A292" s="4" t="n">
        <v>291</v>
      </c>
      <c r="B292" s="3" t="s">
        <v>340</v>
      </c>
      <c r="C292" s="3" t="s">
        <v>20</v>
      </c>
      <c r="D292" s="3" t="s">
        <v>49</v>
      </c>
      <c r="E292" s="7" t="n">
        <v>5.3</v>
      </c>
      <c r="F292" s="4" t="n">
        <f aca="false">IFERROR(VLOOKUP(C292,BangGiaCuoc!$A$2:$C$9,3,0),0)</f>
        <v>110000</v>
      </c>
      <c r="G292" s="3" t="str">
        <f aca="false">IF(F292=0,"Lỗi mã (Cần kiểm tra)","Hợp lệ")</f>
        <v>Hợp lệ</v>
      </c>
      <c r="H292" s="3" t="s">
        <v>31</v>
      </c>
    </row>
    <row r="293" customFormat="false" ht="18.75" hidden="false" customHeight="true" outlineLevel="0" collapsed="false">
      <c r="A293" s="6" t="n">
        <v>292</v>
      </c>
      <c r="B293" s="5" t="s">
        <v>341</v>
      </c>
      <c r="C293" s="5" t="s">
        <v>18</v>
      </c>
      <c r="D293" s="5" t="s">
        <v>72</v>
      </c>
      <c r="E293" s="8" t="n">
        <v>14</v>
      </c>
      <c r="F293" s="6" t="n">
        <f aca="false">IFERROR(VLOOKUP(C293,BangGiaCuoc!$A$2:$C$9,3,0),0)</f>
        <v>90000</v>
      </c>
      <c r="G293" s="5" t="str">
        <f aca="false">IF(F293=0,"Lỗi mã (Cần kiểm tra)","Hợp lệ")</f>
        <v>Hợp lệ</v>
      </c>
      <c r="H293" s="5" t="s">
        <v>31</v>
      </c>
    </row>
    <row r="294" customFormat="false" ht="18.75" hidden="false" customHeight="true" outlineLevel="0" collapsed="false">
      <c r="A294" s="4" t="n">
        <v>293</v>
      </c>
      <c r="B294" s="3" t="s">
        <v>342</v>
      </c>
      <c r="C294" s="3" t="s">
        <v>12</v>
      </c>
      <c r="D294" s="3" t="s">
        <v>33</v>
      </c>
      <c r="E294" s="7" t="n">
        <v>8.8</v>
      </c>
      <c r="F294" s="4" t="n">
        <f aca="false">IFERROR(VLOOKUP(C294,BangGiaCuoc!$A$2:$C$9,3,0),0)</f>
        <v>55000</v>
      </c>
      <c r="G294" s="3" t="str">
        <f aca="false">IF(F294=0,"Lỗi mã (Cần kiểm tra)","Hợp lệ")</f>
        <v>Hợp lệ</v>
      </c>
      <c r="H294" s="3" t="s">
        <v>31</v>
      </c>
    </row>
    <row r="295" customFormat="false" ht="18.75" hidden="false" customHeight="true" outlineLevel="0" collapsed="false">
      <c r="A295" s="6" t="n">
        <v>294</v>
      </c>
      <c r="B295" s="5" t="s">
        <v>343</v>
      </c>
      <c r="C295" s="5" t="s">
        <v>12</v>
      </c>
      <c r="D295" s="5" t="s">
        <v>44</v>
      </c>
      <c r="E295" s="8" t="n">
        <v>1.1</v>
      </c>
      <c r="F295" s="6" t="n">
        <f aca="false">IFERROR(VLOOKUP(C295,BangGiaCuoc!$A$2:$C$9,3,0),0)</f>
        <v>55000</v>
      </c>
      <c r="G295" s="5" t="str">
        <f aca="false">IF(F295=0,"Lỗi mã (Cần kiểm tra)","Hợp lệ")</f>
        <v>Hợp lệ</v>
      </c>
      <c r="H295" s="5" t="s">
        <v>31</v>
      </c>
    </row>
    <row r="296" customFormat="false" ht="18.75" hidden="false" customHeight="true" outlineLevel="0" collapsed="false">
      <c r="A296" s="4" t="n">
        <v>295</v>
      </c>
      <c r="B296" s="3" t="s">
        <v>344</v>
      </c>
      <c r="C296" s="3" t="s">
        <v>20</v>
      </c>
      <c r="D296" s="3" t="s">
        <v>44</v>
      </c>
      <c r="E296" s="7" t="n">
        <v>6.1</v>
      </c>
      <c r="F296" s="4" t="n">
        <f aca="false">IFERROR(VLOOKUP(C296,BangGiaCuoc!$A$2:$C$9,3,0),0)</f>
        <v>110000</v>
      </c>
      <c r="G296" s="3" t="str">
        <f aca="false">IF(F296=0,"Lỗi mã (Cần kiểm tra)","Hợp lệ")</f>
        <v>Hợp lệ</v>
      </c>
      <c r="H296" s="3" t="s">
        <v>31</v>
      </c>
    </row>
    <row r="297" customFormat="false" ht="18.75" hidden="false" customHeight="true" outlineLevel="0" collapsed="false">
      <c r="A297" s="6" t="n">
        <v>296</v>
      </c>
      <c r="B297" s="5" t="s">
        <v>345</v>
      </c>
      <c r="C297" s="5" t="s">
        <v>10</v>
      </c>
      <c r="D297" s="5" t="s">
        <v>72</v>
      </c>
      <c r="E297" s="8" t="n">
        <v>14.5</v>
      </c>
      <c r="F297" s="6" t="n">
        <f aca="false">IFERROR(VLOOKUP(C297,BangGiaCuoc!$A$2:$C$9,3,0),0)</f>
        <v>32000</v>
      </c>
      <c r="G297" s="5" t="str">
        <f aca="false">IF(F297=0,"Lỗi mã (Cần kiểm tra)","Hợp lệ")</f>
        <v>Hợp lệ</v>
      </c>
      <c r="H297" s="5" t="s">
        <v>31</v>
      </c>
    </row>
    <row r="298" customFormat="false" ht="18.75" hidden="false" customHeight="true" outlineLevel="0" collapsed="false">
      <c r="A298" s="4" t="n">
        <v>297</v>
      </c>
      <c r="B298" s="3" t="s">
        <v>346</v>
      </c>
      <c r="C298" s="3" t="s">
        <v>10</v>
      </c>
      <c r="D298" s="3" t="s">
        <v>35</v>
      </c>
      <c r="E298" s="7" t="n">
        <v>14.5</v>
      </c>
      <c r="F298" s="4" t="n">
        <f aca="false">IFERROR(VLOOKUP(C298,BangGiaCuoc!$A$2:$C$9,3,0),0)</f>
        <v>32000</v>
      </c>
      <c r="G298" s="3" t="str">
        <f aca="false">IF(F298=0,"Lỗi mã (Cần kiểm tra)","Hợp lệ")</f>
        <v>Hợp lệ</v>
      </c>
      <c r="H298" s="3" t="s">
        <v>31</v>
      </c>
    </row>
    <row r="299" customFormat="false" ht="18.75" hidden="false" customHeight="true" outlineLevel="0" collapsed="false">
      <c r="A299" s="6" t="n">
        <v>298</v>
      </c>
      <c r="B299" s="5" t="s">
        <v>347</v>
      </c>
      <c r="C299" s="5" t="s">
        <v>16</v>
      </c>
      <c r="D299" s="5" t="s">
        <v>47</v>
      </c>
      <c r="E299" s="8" t="n">
        <v>13.2</v>
      </c>
      <c r="F299" s="6" t="n">
        <f aca="false">IFERROR(VLOOKUP(C299,BangGiaCuoc!$A$2:$C$9,3,0),0)</f>
        <v>65000</v>
      </c>
      <c r="G299" s="5" t="str">
        <f aca="false">IF(F299=0,"Lỗi mã (Cần kiểm tra)","Hợp lệ")</f>
        <v>Hợp lệ</v>
      </c>
      <c r="H299" s="5" t="s">
        <v>31</v>
      </c>
    </row>
    <row r="300" customFormat="false" ht="18.75" hidden="false" customHeight="true" outlineLevel="0" collapsed="false">
      <c r="A300" s="4" t="n">
        <v>299</v>
      </c>
      <c r="B300" s="3" t="s">
        <v>348</v>
      </c>
      <c r="C300" s="3" t="s">
        <v>20</v>
      </c>
      <c r="D300" s="3" t="s">
        <v>47</v>
      </c>
      <c r="E300" s="7" t="n">
        <v>8.1</v>
      </c>
      <c r="F300" s="4" t="n">
        <f aca="false">IFERROR(VLOOKUP(C300,BangGiaCuoc!$A$2:$C$9,3,0),0)</f>
        <v>110000</v>
      </c>
      <c r="G300" s="3" t="str">
        <f aca="false">IF(F300=0,"Lỗi mã (Cần kiểm tra)","Hợp lệ")</f>
        <v>Hợp lệ</v>
      </c>
      <c r="H300" s="3" t="s">
        <v>31</v>
      </c>
    </row>
    <row r="301" customFormat="false" ht="18.75" hidden="false" customHeight="true" outlineLevel="0" collapsed="false">
      <c r="A301" s="6" t="n">
        <v>300</v>
      </c>
      <c r="B301" s="5" t="s">
        <v>349</v>
      </c>
      <c r="C301" s="5" t="s">
        <v>20</v>
      </c>
      <c r="D301" s="5" t="s">
        <v>30</v>
      </c>
      <c r="E301" s="8" t="n">
        <v>11</v>
      </c>
      <c r="F301" s="6" t="n">
        <f aca="false">IFERROR(VLOOKUP(C301,BangGiaCuoc!$A$2:$C$9,3,0),0)</f>
        <v>110000</v>
      </c>
      <c r="G301" s="5" t="str">
        <f aca="false">IF(F301=0,"Lỗi mã (Cần kiểm tra)","Hợp lệ")</f>
        <v>Hợp lệ</v>
      </c>
      <c r="H301" s="5" t="s">
        <v>31</v>
      </c>
    </row>
    <row r="302" customFormat="false" ht="18.75" hidden="false" customHeight="true" outlineLevel="0" collapsed="false">
      <c r="A302" s="4" t="n">
        <v>301</v>
      </c>
      <c r="B302" s="3" t="s">
        <v>350</v>
      </c>
      <c r="C302" s="3" t="s">
        <v>18</v>
      </c>
      <c r="D302" s="3" t="s">
        <v>65</v>
      </c>
      <c r="E302" s="7" t="n">
        <v>1.6</v>
      </c>
      <c r="F302" s="4" t="n">
        <f aca="false">IFERROR(VLOOKUP(C302,BangGiaCuoc!$A$2:$C$9,3,0),0)</f>
        <v>90000</v>
      </c>
      <c r="G302" s="3" t="str">
        <f aca="false">IF(F302=0,"Lỗi mã (Cần kiểm tra)","Hợp lệ")</f>
        <v>Hợp lệ</v>
      </c>
      <c r="H302" s="3" t="s">
        <v>31</v>
      </c>
    </row>
    <row r="303" customFormat="false" ht="18.75" hidden="false" customHeight="true" outlineLevel="0" collapsed="false">
      <c r="A303" s="6" t="n">
        <v>302</v>
      </c>
      <c r="B303" s="5" t="s">
        <v>351</v>
      </c>
      <c r="C303" s="5" t="s">
        <v>14</v>
      </c>
      <c r="D303" s="5" t="s">
        <v>49</v>
      </c>
      <c r="E303" s="8" t="n">
        <v>9.5</v>
      </c>
      <c r="F303" s="6" t="n">
        <f aca="false">IFERROR(VLOOKUP(C303,BangGiaCuoc!$A$2:$C$9,3,0),0)</f>
        <v>75000</v>
      </c>
      <c r="G303" s="5" t="str">
        <f aca="false">IF(F303=0,"Lỗi mã (Cần kiểm tra)","Hợp lệ")</f>
        <v>Hợp lệ</v>
      </c>
      <c r="H303" s="5" t="s">
        <v>31</v>
      </c>
    </row>
    <row r="304" customFormat="false" ht="18.75" hidden="false" customHeight="true" outlineLevel="0" collapsed="false">
      <c r="A304" s="4" t="n">
        <v>303</v>
      </c>
      <c r="B304" s="3" t="s">
        <v>352</v>
      </c>
      <c r="C304" s="3" t="s">
        <v>18</v>
      </c>
      <c r="D304" s="3" t="s">
        <v>47</v>
      </c>
      <c r="E304" s="7" t="n">
        <v>12.9</v>
      </c>
      <c r="F304" s="4" t="n">
        <f aca="false">IFERROR(VLOOKUP(C304,BangGiaCuoc!$A$2:$C$9,3,0),0)</f>
        <v>90000</v>
      </c>
      <c r="G304" s="3" t="str">
        <f aca="false">IF(F304=0,"Lỗi mã (Cần kiểm tra)","Hợp lệ")</f>
        <v>Hợp lệ</v>
      </c>
      <c r="H304" s="3" t="s">
        <v>31</v>
      </c>
    </row>
    <row r="305" customFormat="false" ht="18.75" hidden="false" customHeight="true" outlineLevel="0" collapsed="false">
      <c r="A305" s="6" t="n">
        <v>304</v>
      </c>
      <c r="B305" s="5" t="s">
        <v>353</v>
      </c>
      <c r="C305" s="5" t="s">
        <v>18</v>
      </c>
      <c r="D305" s="5" t="s">
        <v>49</v>
      </c>
      <c r="E305" s="8" t="n">
        <v>9.6</v>
      </c>
      <c r="F305" s="6" t="n">
        <f aca="false">IFERROR(VLOOKUP(C305,BangGiaCuoc!$A$2:$C$9,3,0),0)</f>
        <v>90000</v>
      </c>
      <c r="G305" s="5" t="str">
        <f aca="false">IF(F305=0,"Lỗi mã (Cần kiểm tra)","Hợp lệ")</f>
        <v>Hợp lệ</v>
      </c>
      <c r="H305" s="5" t="s">
        <v>31</v>
      </c>
    </row>
    <row r="306" customFormat="false" ht="18.75" hidden="false" customHeight="true" outlineLevel="0" collapsed="false">
      <c r="A306" s="4" t="n">
        <v>305</v>
      </c>
      <c r="B306" s="3" t="s">
        <v>354</v>
      </c>
      <c r="C306" s="3" t="s">
        <v>20</v>
      </c>
      <c r="D306" s="3" t="s">
        <v>35</v>
      </c>
      <c r="E306" s="7" t="n">
        <v>1</v>
      </c>
      <c r="F306" s="4" t="n">
        <f aca="false">IFERROR(VLOOKUP(C306,BangGiaCuoc!$A$2:$C$9,3,0),0)</f>
        <v>110000</v>
      </c>
      <c r="G306" s="3" t="str">
        <f aca="false">IF(F306=0,"Lỗi mã (Cần kiểm tra)","Hợp lệ")</f>
        <v>Hợp lệ</v>
      </c>
      <c r="H306" s="3" t="s">
        <v>31</v>
      </c>
    </row>
    <row r="307" customFormat="false" ht="18.75" hidden="false" customHeight="true" outlineLevel="0" collapsed="false">
      <c r="A307" s="6" t="n">
        <v>306</v>
      </c>
      <c r="B307" s="5" t="s">
        <v>355</v>
      </c>
      <c r="C307" s="5" t="s">
        <v>8</v>
      </c>
      <c r="D307" s="5" t="s">
        <v>33</v>
      </c>
      <c r="E307" s="8" t="n">
        <v>9.7</v>
      </c>
      <c r="F307" s="6" t="n">
        <f aca="false">IFERROR(VLOOKUP(C307,BangGiaCuoc!$A$2:$C$9,3,0),0)</f>
        <v>40000</v>
      </c>
      <c r="G307" s="5" t="str">
        <f aca="false">IF(F307=0,"Lỗi mã (Cần kiểm tra)","Hợp lệ")</f>
        <v>Hợp lệ</v>
      </c>
      <c r="H307" s="5" t="s">
        <v>31</v>
      </c>
    </row>
    <row r="308" customFormat="false" ht="18.75" hidden="false" customHeight="true" outlineLevel="0" collapsed="false">
      <c r="A308" s="4" t="n">
        <v>307</v>
      </c>
      <c r="B308" s="3" t="s">
        <v>356</v>
      </c>
      <c r="C308" s="3" t="s">
        <v>14</v>
      </c>
      <c r="D308" s="3" t="s">
        <v>33</v>
      </c>
      <c r="E308" s="7" t="n">
        <v>11.3</v>
      </c>
      <c r="F308" s="4" t="n">
        <f aca="false">IFERROR(VLOOKUP(C308,BangGiaCuoc!$A$2:$C$9,3,0),0)</f>
        <v>75000</v>
      </c>
      <c r="G308" s="3" t="str">
        <f aca="false">IF(F308=0,"Lỗi mã (Cần kiểm tra)","Hợp lệ")</f>
        <v>Hợp lệ</v>
      </c>
      <c r="H308" s="3" t="s">
        <v>31</v>
      </c>
    </row>
    <row r="309" customFormat="false" ht="18.75" hidden="false" customHeight="true" outlineLevel="0" collapsed="false">
      <c r="A309" s="6" t="n">
        <v>308</v>
      </c>
      <c r="B309" s="5" t="s">
        <v>357</v>
      </c>
      <c r="C309" s="5" t="s">
        <v>18</v>
      </c>
      <c r="D309" s="5" t="s">
        <v>47</v>
      </c>
      <c r="E309" s="8" t="n">
        <v>11.5</v>
      </c>
      <c r="F309" s="6" t="n">
        <f aca="false">IFERROR(VLOOKUP(C309,BangGiaCuoc!$A$2:$C$9,3,0),0)</f>
        <v>90000</v>
      </c>
      <c r="G309" s="5" t="str">
        <f aca="false">IF(F309=0,"Lỗi mã (Cần kiểm tra)","Hợp lệ")</f>
        <v>Hợp lệ</v>
      </c>
      <c r="H309" s="5" t="s">
        <v>31</v>
      </c>
    </row>
    <row r="310" customFormat="false" ht="18.75" hidden="false" customHeight="true" outlineLevel="0" collapsed="false">
      <c r="A310" s="4" t="n">
        <v>309</v>
      </c>
      <c r="B310" s="3" t="s">
        <v>358</v>
      </c>
      <c r="C310" s="3" t="s">
        <v>8</v>
      </c>
      <c r="D310" s="3" t="s">
        <v>72</v>
      </c>
      <c r="E310" s="7" t="n">
        <v>2.9</v>
      </c>
      <c r="F310" s="4" t="n">
        <f aca="false">IFERROR(VLOOKUP(C310,BangGiaCuoc!$A$2:$C$9,3,0),0)</f>
        <v>40000</v>
      </c>
      <c r="G310" s="3" t="str">
        <f aca="false">IF(F310=0,"Lỗi mã (Cần kiểm tra)","Hợp lệ")</f>
        <v>Hợp lệ</v>
      </c>
      <c r="H310" s="3" t="s">
        <v>31</v>
      </c>
    </row>
    <row r="311" customFormat="false" ht="18.75" hidden="false" customHeight="true" outlineLevel="0" collapsed="false">
      <c r="A311" s="6" t="n">
        <v>310</v>
      </c>
      <c r="B311" s="5" t="s">
        <v>359</v>
      </c>
      <c r="C311" s="5" t="s">
        <v>14</v>
      </c>
      <c r="D311" s="5" t="s">
        <v>30</v>
      </c>
      <c r="E311" s="8" t="n">
        <v>1.2</v>
      </c>
      <c r="F311" s="6" t="n">
        <f aca="false">IFERROR(VLOOKUP(C311,BangGiaCuoc!$A$2:$C$9,3,0),0)</f>
        <v>75000</v>
      </c>
      <c r="G311" s="5" t="str">
        <f aca="false">IF(F311=0,"Lỗi mã (Cần kiểm tra)","Hợp lệ")</f>
        <v>Hợp lệ</v>
      </c>
      <c r="H311" s="5" t="s">
        <v>31</v>
      </c>
    </row>
    <row r="312" customFormat="false" ht="18.75" hidden="false" customHeight="true" outlineLevel="0" collapsed="false">
      <c r="A312" s="4" t="n">
        <v>311</v>
      </c>
      <c r="B312" s="3" t="s">
        <v>360</v>
      </c>
      <c r="C312" s="3" t="s">
        <v>5</v>
      </c>
      <c r="D312" s="3" t="s">
        <v>58</v>
      </c>
      <c r="E312" s="7" t="n">
        <v>5.7</v>
      </c>
      <c r="F312" s="4" t="n">
        <f aca="false">IFERROR(VLOOKUP(C312,BangGiaCuoc!$A$2:$C$9,3,0),0)</f>
        <v>22000</v>
      </c>
      <c r="G312" s="3" t="str">
        <f aca="false">IF(F312=0,"Lỗi mã (Cần kiểm tra)","Hợp lệ")</f>
        <v>Hợp lệ</v>
      </c>
      <c r="H312" s="3" t="s">
        <v>31</v>
      </c>
    </row>
    <row r="313" customFormat="false" ht="18.75" hidden="false" customHeight="true" outlineLevel="0" collapsed="false">
      <c r="A313" s="6" t="n">
        <v>312</v>
      </c>
      <c r="B313" s="5" t="s">
        <v>361</v>
      </c>
      <c r="C313" s="5" t="s">
        <v>18</v>
      </c>
      <c r="D313" s="5" t="s">
        <v>65</v>
      </c>
      <c r="E313" s="8" t="n">
        <v>4</v>
      </c>
      <c r="F313" s="6" t="n">
        <f aca="false">IFERROR(VLOOKUP(C313,BangGiaCuoc!$A$2:$C$9,3,0),0)</f>
        <v>90000</v>
      </c>
      <c r="G313" s="5" t="str">
        <f aca="false">IF(F313=0,"Lỗi mã (Cần kiểm tra)","Hợp lệ")</f>
        <v>Hợp lệ</v>
      </c>
      <c r="H313" s="5" t="s">
        <v>31</v>
      </c>
    </row>
    <row r="314" customFormat="false" ht="18.75" hidden="false" customHeight="true" outlineLevel="0" collapsed="false">
      <c r="A314" s="4" t="n">
        <v>313</v>
      </c>
      <c r="B314" s="3" t="s">
        <v>362</v>
      </c>
      <c r="C314" s="3" t="s">
        <v>18</v>
      </c>
      <c r="D314" s="3" t="s">
        <v>53</v>
      </c>
      <c r="E314" s="7" t="n">
        <v>10.4</v>
      </c>
      <c r="F314" s="4" t="n">
        <f aca="false">IFERROR(VLOOKUP(C314,BangGiaCuoc!$A$2:$C$9,3,0),0)</f>
        <v>90000</v>
      </c>
      <c r="G314" s="3" t="str">
        <f aca="false">IF(F314=0,"Lỗi mã (Cần kiểm tra)","Hợp lệ")</f>
        <v>Hợp lệ</v>
      </c>
      <c r="H314" s="3" t="s">
        <v>31</v>
      </c>
    </row>
    <row r="315" customFormat="false" ht="18.75" hidden="false" customHeight="true" outlineLevel="0" collapsed="false">
      <c r="A315" s="6" t="n">
        <v>314</v>
      </c>
      <c r="B315" s="5" t="s">
        <v>363</v>
      </c>
      <c r="C315" s="5" t="s">
        <v>10</v>
      </c>
      <c r="D315" s="5" t="s">
        <v>65</v>
      </c>
      <c r="E315" s="8" t="n">
        <v>3</v>
      </c>
      <c r="F315" s="6" t="n">
        <f aca="false">IFERROR(VLOOKUP(C315,BangGiaCuoc!$A$2:$C$9,3,0),0)</f>
        <v>32000</v>
      </c>
      <c r="G315" s="5" t="str">
        <f aca="false">IF(F315=0,"Lỗi mã (Cần kiểm tra)","Hợp lệ")</f>
        <v>Hợp lệ</v>
      </c>
      <c r="H315" s="5" t="s">
        <v>31</v>
      </c>
    </row>
    <row r="316" customFormat="false" ht="18.75" hidden="false" customHeight="true" outlineLevel="0" collapsed="false">
      <c r="A316" s="4" t="n">
        <v>315</v>
      </c>
      <c r="B316" s="3" t="s">
        <v>364</v>
      </c>
      <c r="C316" s="3" t="s">
        <v>18</v>
      </c>
      <c r="D316" s="3" t="s">
        <v>53</v>
      </c>
      <c r="E316" s="7" t="n">
        <v>10.4</v>
      </c>
      <c r="F316" s="4" t="n">
        <f aca="false">IFERROR(VLOOKUP(C316,BangGiaCuoc!$A$2:$C$9,3,0),0)</f>
        <v>90000</v>
      </c>
      <c r="G316" s="3" t="str">
        <f aca="false">IF(F316=0,"Lỗi mã (Cần kiểm tra)","Hợp lệ")</f>
        <v>Hợp lệ</v>
      </c>
      <c r="H316" s="3" t="s">
        <v>31</v>
      </c>
    </row>
    <row r="317" customFormat="false" ht="18.75" hidden="false" customHeight="true" outlineLevel="0" collapsed="false">
      <c r="A317" s="6" t="n">
        <v>316</v>
      </c>
      <c r="B317" s="5" t="s">
        <v>365</v>
      </c>
      <c r="C317" s="5" t="s">
        <v>20</v>
      </c>
      <c r="D317" s="5" t="s">
        <v>53</v>
      </c>
      <c r="E317" s="8" t="n">
        <v>2.6</v>
      </c>
      <c r="F317" s="6" t="n">
        <f aca="false">IFERROR(VLOOKUP(C317,BangGiaCuoc!$A$2:$C$9,3,0),0)</f>
        <v>110000</v>
      </c>
      <c r="G317" s="5" t="str">
        <f aca="false">IF(F317=0,"Lỗi mã (Cần kiểm tra)","Hợp lệ")</f>
        <v>Hợp lệ</v>
      </c>
      <c r="H317" s="5" t="s">
        <v>31</v>
      </c>
    </row>
    <row r="318" customFormat="false" ht="18.75" hidden="false" customHeight="true" outlineLevel="0" collapsed="false">
      <c r="A318" s="4" t="n">
        <v>317</v>
      </c>
      <c r="B318" s="3" t="s">
        <v>366</v>
      </c>
      <c r="C318" s="3" t="s">
        <v>20</v>
      </c>
      <c r="D318" s="3" t="s">
        <v>58</v>
      </c>
      <c r="E318" s="7" t="n">
        <v>7.2</v>
      </c>
      <c r="F318" s="4" t="n">
        <f aca="false">IFERROR(VLOOKUP(C318,BangGiaCuoc!$A$2:$C$9,3,0),0)</f>
        <v>110000</v>
      </c>
      <c r="G318" s="3" t="str">
        <f aca="false">IF(F318=0,"Lỗi mã (Cần kiểm tra)","Hợp lệ")</f>
        <v>Hợp lệ</v>
      </c>
      <c r="H318" s="3" t="s">
        <v>31</v>
      </c>
    </row>
    <row r="319" customFormat="false" ht="18.75" hidden="false" customHeight="true" outlineLevel="0" collapsed="false">
      <c r="A319" s="6" t="n">
        <v>318</v>
      </c>
      <c r="B319" s="5" t="s">
        <v>367</v>
      </c>
      <c r="C319" s="5" t="s">
        <v>5</v>
      </c>
      <c r="D319" s="5" t="s">
        <v>72</v>
      </c>
      <c r="E319" s="8" t="n">
        <v>13.6</v>
      </c>
      <c r="F319" s="6" t="n">
        <f aca="false">IFERROR(VLOOKUP(C319,BangGiaCuoc!$A$2:$C$9,3,0),0)</f>
        <v>22000</v>
      </c>
      <c r="G319" s="5" t="str">
        <f aca="false">IF(F319=0,"Lỗi mã (Cần kiểm tra)","Hợp lệ")</f>
        <v>Hợp lệ</v>
      </c>
      <c r="H319" s="5" t="s">
        <v>31</v>
      </c>
    </row>
    <row r="320" customFormat="false" ht="18.75" hidden="false" customHeight="true" outlineLevel="0" collapsed="false">
      <c r="A320" s="4" t="n">
        <v>319</v>
      </c>
      <c r="B320" s="3" t="s">
        <v>368</v>
      </c>
      <c r="C320" s="3" t="s">
        <v>10</v>
      </c>
      <c r="D320" s="3" t="s">
        <v>47</v>
      </c>
      <c r="E320" s="7" t="n">
        <v>6.9</v>
      </c>
      <c r="F320" s="4" t="n">
        <f aca="false">IFERROR(VLOOKUP(C320,BangGiaCuoc!$A$2:$C$9,3,0),0)</f>
        <v>32000</v>
      </c>
      <c r="G320" s="3" t="str">
        <f aca="false">IF(F320=0,"Lỗi mã (Cần kiểm tra)","Hợp lệ")</f>
        <v>Hợp lệ</v>
      </c>
      <c r="H320" s="3" t="s">
        <v>31</v>
      </c>
    </row>
    <row r="321" customFormat="false" ht="18.75" hidden="false" customHeight="true" outlineLevel="0" collapsed="false">
      <c r="A321" s="6" t="n">
        <v>320</v>
      </c>
      <c r="B321" s="5" t="s">
        <v>369</v>
      </c>
      <c r="C321" s="5" t="s">
        <v>16</v>
      </c>
      <c r="D321" s="5" t="s">
        <v>53</v>
      </c>
      <c r="E321" s="8" t="n">
        <v>4.8</v>
      </c>
      <c r="F321" s="6" t="n">
        <f aca="false">IFERROR(VLOOKUP(C321,BangGiaCuoc!$A$2:$C$9,3,0),0)</f>
        <v>65000</v>
      </c>
      <c r="G321" s="5" t="str">
        <f aca="false">IF(F321=0,"Lỗi mã (Cần kiểm tra)","Hợp lệ")</f>
        <v>Hợp lệ</v>
      </c>
      <c r="H321" s="5" t="s">
        <v>31</v>
      </c>
    </row>
    <row r="322" customFormat="false" ht="18.75" hidden="false" customHeight="true" outlineLevel="0" collapsed="false">
      <c r="A322" s="4" t="n">
        <v>321</v>
      </c>
      <c r="B322" s="3" t="s">
        <v>370</v>
      </c>
      <c r="C322" s="3" t="s">
        <v>18</v>
      </c>
      <c r="D322" s="3" t="s">
        <v>58</v>
      </c>
      <c r="E322" s="7" t="n">
        <v>7.1</v>
      </c>
      <c r="F322" s="4" t="n">
        <f aca="false">IFERROR(VLOOKUP(C322,BangGiaCuoc!$A$2:$C$9,3,0),0)</f>
        <v>90000</v>
      </c>
      <c r="G322" s="3" t="str">
        <f aca="false">IF(F322=0,"Lỗi mã (Cần kiểm tra)","Hợp lệ")</f>
        <v>Hợp lệ</v>
      </c>
      <c r="H322" s="3" t="s">
        <v>31</v>
      </c>
    </row>
    <row r="323" customFormat="false" ht="18.75" hidden="false" customHeight="true" outlineLevel="0" collapsed="false">
      <c r="A323" s="6" t="n">
        <v>322</v>
      </c>
      <c r="B323" s="5" t="s">
        <v>371</v>
      </c>
      <c r="C323" s="5" t="s">
        <v>14</v>
      </c>
      <c r="D323" s="5" t="s">
        <v>33</v>
      </c>
      <c r="E323" s="8" t="n">
        <v>15</v>
      </c>
      <c r="F323" s="6" t="n">
        <f aca="false">IFERROR(VLOOKUP(C323,BangGiaCuoc!$A$2:$C$9,3,0),0)</f>
        <v>75000</v>
      </c>
      <c r="G323" s="5" t="str">
        <f aca="false">IF(F323=0,"Lỗi mã (Cần kiểm tra)","Hợp lệ")</f>
        <v>Hợp lệ</v>
      </c>
      <c r="H323" s="5" t="s">
        <v>31</v>
      </c>
    </row>
    <row r="324" customFormat="false" ht="18.75" hidden="false" customHeight="true" outlineLevel="0" collapsed="false">
      <c r="A324" s="4" t="n">
        <v>323</v>
      </c>
      <c r="B324" s="3" t="s">
        <v>372</v>
      </c>
      <c r="C324" s="3" t="s">
        <v>20</v>
      </c>
      <c r="D324" s="3" t="s">
        <v>47</v>
      </c>
      <c r="E324" s="7" t="n">
        <v>3.9</v>
      </c>
      <c r="F324" s="4" t="n">
        <f aca="false">IFERROR(VLOOKUP(C324,BangGiaCuoc!$A$2:$C$9,3,0),0)</f>
        <v>110000</v>
      </c>
      <c r="G324" s="3" t="str">
        <f aca="false">IF(F324=0,"Lỗi mã (Cần kiểm tra)","Hợp lệ")</f>
        <v>Hợp lệ</v>
      </c>
      <c r="H324" s="3" t="s">
        <v>31</v>
      </c>
    </row>
    <row r="325" customFormat="false" ht="18.75" hidden="false" customHeight="true" outlineLevel="0" collapsed="false">
      <c r="A325" s="6" t="n">
        <v>324</v>
      </c>
      <c r="B325" s="5" t="s">
        <v>373</v>
      </c>
      <c r="C325" s="5" t="s">
        <v>16</v>
      </c>
      <c r="D325" s="5" t="s">
        <v>53</v>
      </c>
      <c r="E325" s="8" t="n">
        <v>4.8</v>
      </c>
      <c r="F325" s="6" t="n">
        <f aca="false">IFERROR(VLOOKUP(C325,BangGiaCuoc!$A$2:$C$9,3,0),0)</f>
        <v>65000</v>
      </c>
      <c r="G325" s="5" t="str">
        <f aca="false">IF(F325=0,"Lỗi mã (Cần kiểm tra)","Hợp lệ")</f>
        <v>Hợp lệ</v>
      </c>
      <c r="H325" s="5" t="s">
        <v>31</v>
      </c>
    </row>
    <row r="326" customFormat="false" ht="18.75" hidden="false" customHeight="true" outlineLevel="0" collapsed="false">
      <c r="A326" s="4" t="n">
        <v>325</v>
      </c>
      <c r="B326" s="3" t="s">
        <v>374</v>
      </c>
      <c r="C326" s="3" t="s">
        <v>14</v>
      </c>
      <c r="D326" s="3" t="s">
        <v>30</v>
      </c>
      <c r="E326" s="7" t="n">
        <v>14.7</v>
      </c>
      <c r="F326" s="4" t="n">
        <f aca="false">IFERROR(VLOOKUP(C326,BangGiaCuoc!$A$2:$C$9,3,0),0)</f>
        <v>75000</v>
      </c>
      <c r="G326" s="3" t="str">
        <f aca="false">IF(F326=0,"Lỗi mã (Cần kiểm tra)","Hợp lệ")</f>
        <v>Hợp lệ</v>
      </c>
      <c r="H326" s="3" t="s">
        <v>31</v>
      </c>
    </row>
    <row r="327" customFormat="false" ht="18.75" hidden="false" customHeight="true" outlineLevel="0" collapsed="false">
      <c r="A327" s="6" t="n">
        <v>326</v>
      </c>
      <c r="B327" s="5" t="s">
        <v>375</v>
      </c>
      <c r="C327" s="5" t="s">
        <v>18</v>
      </c>
      <c r="D327" s="5" t="s">
        <v>58</v>
      </c>
      <c r="E327" s="8" t="n">
        <v>0.6</v>
      </c>
      <c r="F327" s="6" t="n">
        <f aca="false">IFERROR(VLOOKUP(C327,BangGiaCuoc!$A$2:$C$9,3,0),0)</f>
        <v>90000</v>
      </c>
      <c r="G327" s="5" t="str">
        <f aca="false">IF(F327=0,"Lỗi mã (Cần kiểm tra)","Hợp lệ")</f>
        <v>Hợp lệ</v>
      </c>
      <c r="H327" s="5" t="s">
        <v>31</v>
      </c>
    </row>
    <row r="328" customFormat="false" ht="18.75" hidden="false" customHeight="true" outlineLevel="0" collapsed="false">
      <c r="A328" s="4" t="n">
        <v>327</v>
      </c>
      <c r="B328" s="3" t="s">
        <v>376</v>
      </c>
      <c r="C328" s="3" t="s">
        <v>5</v>
      </c>
      <c r="D328" s="3" t="s">
        <v>53</v>
      </c>
      <c r="E328" s="7" t="n">
        <v>11.3</v>
      </c>
      <c r="F328" s="4" t="n">
        <f aca="false">IFERROR(VLOOKUP(C328,BangGiaCuoc!$A$2:$C$9,3,0),0)</f>
        <v>22000</v>
      </c>
      <c r="G328" s="3" t="str">
        <f aca="false">IF(F328=0,"Lỗi mã (Cần kiểm tra)","Hợp lệ")</f>
        <v>Hợp lệ</v>
      </c>
      <c r="H328" s="3" t="s">
        <v>31</v>
      </c>
    </row>
    <row r="329" customFormat="false" ht="18.75" hidden="false" customHeight="true" outlineLevel="0" collapsed="false">
      <c r="A329" s="6" t="n">
        <v>328</v>
      </c>
      <c r="B329" s="5" t="s">
        <v>377</v>
      </c>
      <c r="C329" s="5" t="s">
        <v>14</v>
      </c>
      <c r="D329" s="5" t="s">
        <v>33</v>
      </c>
      <c r="E329" s="8" t="n">
        <v>9.3</v>
      </c>
      <c r="F329" s="6" t="n">
        <f aca="false">IFERROR(VLOOKUP(C329,BangGiaCuoc!$A$2:$C$9,3,0),0)</f>
        <v>75000</v>
      </c>
      <c r="G329" s="5" t="str">
        <f aca="false">IF(F329=0,"Lỗi mã (Cần kiểm tra)","Hợp lệ")</f>
        <v>Hợp lệ</v>
      </c>
      <c r="H329" s="5" t="s">
        <v>31</v>
      </c>
    </row>
    <row r="330" customFormat="false" ht="18.75" hidden="false" customHeight="true" outlineLevel="0" collapsed="false">
      <c r="A330" s="4" t="n">
        <v>329</v>
      </c>
      <c r="B330" s="3" t="s">
        <v>378</v>
      </c>
      <c r="C330" s="3" t="s">
        <v>16</v>
      </c>
      <c r="D330" s="3" t="s">
        <v>33</v>
      </c>
      <c r="E330" s="7" t="n">
        <v>9.7</v>
      </c>
      <c r="F330" s="4" t="n">
        <f aca="false">IFERROR(VLOOKUP(C330,BangGiaCuoc!$A$2:$C$9,3,0),0)</f>
        <v>65000</v>
      </c>
      <c r="G330" s="3" t="str">
        <f aca="false">IF(F330=0,"Lỗi mã (Cần kiểm tra)","Hợp lệ")</f>
        <v>Hợp lệ</v>
      </c>
      <c r="H330" s="3" t="s">
        <v>31</v>
      </c>
    </row>
    <row r="331" customFormat="false" ht="18.75" hidden="false" customHeight="true" outlineLevel="0" collapsed="false">
      <c r="A331" s="6" t="n">
        <v>330</v>
      </c>
      <c r="B331" s="5" t="s">
        <v>379</v>
      </c>
      <c r="C331" s="5" t="s">
        <v>14</v>
      </c>
      <c r="D331" s="5" t="s">
        <v>65</v>
      </c>
      <c r="E331" s="8" t="n">
        <v>9.6</v>
      </c>
      <c r="F331" s="6" t="n">
        <f aca="false">IFERROR(VLOOKUP(C331,BangGiaCuoc!$A$2:$C$9,3,0),0)</f>
        <v>75000</v>
      </c>
      <c r="G331" s="5" t="str">
        <f aca="false">IF(F331=0,"Lỗi mã (Cần kiểm tra)","Hợp lệ")</f>
        <v>Hợp lệ</v>
      </c>
      <c r="H331" s="5" t="s">
        <v>31</v>
      </c>
    </row>
    <row r="332" customFormat="false" ht="18.75" hidden="false" customHeight="true" outlineLevel="0" collapsed="false">
      <c r="A332" s="4" t="n">
        <v>331</v>
      </c>
      <c r="B332" s="3" t="s">
        <v>380</v>
      </c>
      <c r="C332" s="3" t="s">
        <v>5</v>
      </c>
      <c r="D332" s="3" t="s">
        <v>58</v>
      </c>
      <c r="E332" s="7" t="n">
        <v>11.9</v>
      </c>
      <c r="F332" s="4" t="n">
        <f aca="false">IFERROR(VLOOKUP(C332,BangGiaCuoc!$A$2:$C$9,3,0),0)</f>
        <v>22000</v>
      </c>
      <c r="G332" s="3" t="str">
        <f aca="false">IF(F332=0,"Lỗi mã (Cần kiểm tra)","Hợp lệ")</f>
        <v>Hợp lệ</v>
      </c>
      <c r="H332" s="3" t="s">
        <v>31</v>
      </c>
    </row>
    <row r="333" customFormat="false" ht="18.75" hidden="false" customHeight="true" outlineLevel="0" collapsed="false">
      <c r="A333" s="6" t="n">
        <v>332</v>
      </c>
      <c r="B333" s="5" t="s">
        <v>381</v>
      </c>
      <c r="C333" s="5" t="s">
        <v>5</v>
      </c>
      <c r="D333" s="5" t="s">
        <v>53</v>
      </c>
      <c r="E333" s="8" t="n">
        <v>5.8</v>
      </c>
      <c r="F333" s="6" t="n">
        <f aca="false">IFERROR(VLOOKUP(C333,BangGiaCuoc!$A$2:$C$9,3,0),0)</f>
        <v>22000</v>
      </c>
      <c r="G333" s="5" t="str">
        <f aca="false">IF(F333=0,"Lỗi mã (Cần kiểm tra)","Hợp lệ")</f>
        <v>Hợp lệ</v>
      </c>
      <c r="H333" s="5" t="s">
        <v>31</v>
      </c>
    </row>
    <row r="334" customFormat="false" ht="18.75" hidden="false" customHeight="true" outlineLevel="0" collapsed="false">
      <c r="A334" s="4" t="n">
        <v>333</v>
      </c>
      <c r="B334" s="3" t="s">
        <v>382</v>
      </c>
      <c r="C334" s="3" t="s">
        <v>10</v>
      </c>
      <c r="D334" s="3" t="s">
        <v>47</v>
      </c>
      <c r="E334" s="7" t="n">
        <v>13.7</v>
      </c>
      <c r="F334" s="4" t="n">
        <f aca="false">IFERROR(VLOOKUP(C334,BangGiaCuoc!$A$2:$C$9,3,0),0)</f>
        <v>32000</v>
      </c>
      <c r="G334" s="3" t="str">
        <f aca="false">IF(F334=0,"Lỗi mã (Cần kiểm tra)","Hợp lệ")</f>
        <v>Hợp lệ</v>
      </c>
      <c r="H334" s="3" t="s">
        <v>31</v>
      </c>
    </row>
    <row r="335" customFormat="false" ht="18.75" hidden="false" customHeight="true" outlineLevel="0" collapsed="false">
      <c r="A335" s="6" t="n">
        <v>334</v>
      </c>
      <c r="B335" s="5" t="s">
        <v>383</v>
      </c>
      <c r="C335" s="5" t="s">
        <v>16</v>
      </c>
      <c r="D335" s="5" t="s">
        <v>44</v>
      </c>
      <c r="E335" s="8" t="n">
        <v>3</v>
      </c>
      <c r="F335" s="6" t="n">
        <f aca="false">IFERROR(VLOOKUP(C335,BangGiaCuoc!$A$2:$C$9,3,0),0)</f>
        <v>65000</v>
      </c>
      <c r="G335" s="5" t="str">
        <f aca="false">IF(F335=0,"Lỗi mã (Cần kiểm tra)","Hợp lệ")</f>
        <v>Hợp lệ</v>
      </c>
      <c r="H335" s="5" t="s">
        <v>31</v>
      </c>
    </row>
    <row r="336" customFormat="false" ht="18.75" hidden="false" customHeight="true" outlineLevel="0" collapsed="false">
      <c r="A336" s="4" t="n">
        <v>335</v>
      </c>
      <c r="B336" s="3" t="s">
        <v>384</v>
      </c>
      <c r="C336" s="3" t="s">
        <v>10</v>
      </c>
      <c r="D336" s="3" t="s">
        <v>35</v>
      </c>
      <c r="E336" s="7" t="n">
        <v>13.2</v>
      </c>
      <c r="F336" s="4" t="n">
        <f aca="false">IFERROR(VLOOKUP(C336,BangGiaCuoc!$A$2:$C$9,3,0),0)</f>
        <v>32000</v>
      </c>
      <c r="G336" s="3" t="str">
        <f aca="false">IF(F336=0,"Lỗi mã (Cần kiểm tra)","Hợp lệ")</f>
        <v>Hợp lệ</v>
      </c>
      <c r="H336" s="3" t="s">
        <v>31</v>
      </c>
    </row>
    <row r="337" customFormat="false" ht="18.75" hidden="false" customHeight="true" outlineLevel="0" collapsed="false">
      <c r="A337" s="6" t="n">
        <v>336</v>
      </c>
      <c r="B337" s="5" t="s">
        <v>385</v>
      </c>
      <c r="C337" s="5" t="s">
        <v>16</v>
      </c>
      <c r="D337" s="5" t="s">
        <v>35</v>
      </c>
      <c r="E337" s="8" t="n">
        <v>7.8</v>
      </c>
      <c r="F337" s="6" t="n">
        <f aca="false">IFERROR(VLOOKUP(C337,BangGiaCuoc!$A$2:$C$9,3,0),0)</f>
        <v>65000</v>
      </c>
      <c r="G337" s="5" t="str">
        <f aca="false">IF(F337=0,"Lỗi mã (Cần kiểm tra)","Hợp lệ")</f>
        <v>Hợp lệ</v>
      </c>
      <c r="H337" s="5" t="s">
        <v>31</v>
      </c>
    </row>
    <row r="338" customFormat="false" ht="18.75" hidden="false" customHeight="true" outlineLevel="0" collapsed="false">
      <c r="A338" s="4" t="n">
        <v>337</v>
      </c>
      <c r="B338" s="3" t="s">
        <v>386</v>
      </c>
      <c r="C338" s="3" t="s">
        <v>14</v>
      </c>
      <c r="D338" s="3" t="s">
        <v>65</v>
      </c>
      <c r="E338" s="7" t="n">
        <v>4.2</v>
      </c>
      <c r="F338" s="4" t="n">
        <f aca="false">IFERROR(VLOOKUP(C338,BangGiaCuoc!$A$2:$C$9,3,0),0)</f>
        <v>75000</v>
      </c>
      <c r="G338" s="3" t="str">
        <f aca="false">IF(F338=0,"Lỗi mã (Cần kiểm tra)","Hợp lệ")</f>
        <v>Hợp lệ</v>
      </c>
      <c r="H338" s="3" t="s">
        <v>31</v>
      </c>
    </row>
    <row r="339" customFormat="false" ht="18.75" hidden="false" customHeight="true" outlineLevel="0" collapsed="false">
      <c r="A339" s="6" t="n">
        <v>338</v>
      </c>
      <c r="B339" s="5" t="s">
        <v>387</v>
      </c>
      <c r="C339" s="5" t="s">
        <v>20</v>
      </c>
      <c r="D339" s="5" t="s">
        <v>58</v>
      </c>
      <c r="E339" s="8" t="n">
        <v>11.3</v>
      </c>
      <c r="F339" s="6" t="n">
        <f aca="false">IFERROR(VLOOKUP(C339,BangGiaCuoc!$A$2:$C$9,3,0),0)</f>
        <v>110000</v>
      </c>
      <c r="G339" s="5" t="str">
        <f aca="false">IF(F339=0,"Lỗi mã (Cần kiểm tra)","Hợp lệ")</f>
        <v>Hợp lệ</v>
      </c>
      <c r="H339" s="5" t="s">
        <v>31</v>
      </c>
    </row>
    <row r="340" customFormat="false" ht="18.75" hidden="false" customHeight="true" outlineLevel="0" collapsed="false">
      <c r="A340" s="4" t="n">
        <v>339</v>
      </c>
      <c r="B340" s="3" t="s">
        <v>388</v>
      </c>
      <c r="C340" s="3" t="s">
        <v>16</v>
      </c>
      <c r="D340" s="3" t="s">
        <v>47</v>
      </c>
      <c r="E340" s="7" t="n">
        <v>7.3</v>
      </c>
      <c r="F340" s="4" t="n">
        <f aca="false">IFERROR(VLOOKUP(C340,BangGiaCuoc!$A$2:$C$9,3,0),0)</f>
        <v>65000</v>
      </c>
      <c r="G340" s="3" t="str">
        <f aca="false">IF(F340=0,"Lỗi mã (Cần kiểm tra)","Hợp lệ")</f>
        <v>Hợp lệ</v>
      </c>
      <c r="H340" s="3" t="s">
        <v>31</v>
      </c>
    </row>
    <row r="341" customFormat="false" ht="18.75" hidden="false" customHeight="true" outlineLevel="0" collapsed="false">
      <c r="A341" s="6" t="n">
        <v>340</v>
      </c>
      <c r="B341" s="5" t="s">
        <v>389</v>
      </c>
      <c r="C341" s="5" t="s">
        <v>8</v>
      </c>
      <c r="D341" s="5" t="s">
        <v>65</v>
      </c>
      <c r="E341" s="8" t="n">
        <v>11.4</v>
      </c>
      <c r="F341" s="6" t="n">
        <f aca="false">IFERROR(VLOOKUP(C341,BangGiaCuoc!$A$2:$C$9,3,0),0)</f>
        <v>40000</v>
      </c>
      <c r="G341" s="5" t="str">
        <f aca="false">IF(F341=0,"Lỗi mã (Cần kiểm tra)","Hợp lệ")</f>
        <v>Hợp lệ</v>
      </c>
      <c r="H341" s="5" t="s">
        <v>31</v>
      </c>
    </row>
    <row r="342" customFormat="false" ht="18.75" hidden="false" customHeight="true" outlineLevel="0" collapsed="false">
      <c r="A342" s="4" t="n">
        <v>341</v>
      </c>
      <c r="B342" s="3" t="s">
        <v>390</v>
      </c>
      <c r="C342" s="3" t="s">
        <v>12</v>
      </c>
      <c r="D342" s="3" t="s">
        <v>44</v>
      </c>
      <c r="E342" s="7" t="n">
        <v>14.5</v>
      </c>
      <c r="F342" s="4" t="n">
        <f aca="false">IFERROR(VLOOKUP(C342,BangGiaCuoc!$A$2:$C$9,3,0),0)</f>
        <v>55000</v>
      </c>
      <c r="G342" s="3" t="str">
        <f aca="false">IF(F342=0,"Lỗi mã (Cần kiểm tra)","Hợp lệ")</f>
        <v>Hợp lệ</v>
      </c>
      <c r="H342" s="3" t="s">
        <v>31</v>
      </c>
    </row>
    <row r="343" customFormat="false" ht="18.75" hidden="false" customHeight="true" outlineLevel="0" collapsed="false">
      <c r="A343" s="6" t="n">
        <v>342</v>
      </c>
      <c r="B343" s="5" t="s">
        <v>391</v>
      </c>
      <c r="C343" s="5" t="s">
        <v>16</v>
      </c>
      <c r="D343" s="5" t="s">
        <v>47</v>
      </c>
      <c r="E343" s="8" t="n">
        <v>12</v>
      </c>
      <c r="F343" s="6" t="n">
        <f aca="false">IFERROR(VLOOKUP(C343,BangGiaCuoc!$A$2:$C$9,3,0),0)</f>
        <v>65000</v>
      </c>
      <c r="G343" s="5" t="str">
        <f aca="false">IF(F343=0,"Lỗi mã (Cần kiểm tra)","Hợp lệ")</f>
        <v>Hợp lệ</v>
      </c>
      <c r="H343" s="5" t="s">
        <v>31</v>
      </c>
    </row>
    <row r="344" customFormat="false" ht="18.75" hidden="false" customHeight="true" outlineLevel="0" collapsed="false">
      <c r="A344" s="4" t="n">
        <v>343</v>
      </c>
      <c r="B344" s="3" t="s">
        <v>392</v>
      </c>
      <c r="C344" s="3" t="s">
        <v>5</v>
      </c>
      <c r="D344" s="3" t="s">
        <v>58</v>
      </c>
      <c r="E344" s="7" t="n">
        <v>8.3</v>
      </c>
      <c r="F344" s="4" t="n">
        <f aca="false">IFERROR(VLOOKUP(C344,BangGiaCuoc!$A$2:$C$9,3,0),0)</f>
        <v>22000</v>
      </c>
      <c r="G344" s="3" t="str">
        <f aca="false">IF(F344=0,"Lỗi mã (Cần kiểm tra)","Hợp lệ")</f>
        <v>Hợp lệ</v>
      </c>
      <c r="H344" s="3" t="s">
        <v>31</v>
      </c>
    </row>
    <row r="345" customFormat="false" ht="18.75" hidden="false" customHeight="true" outlineLevel="0" collapsed="false">
      <c r="A345" s="6" t="n">
        <v>344</v>
      </c>
      <c r="B345" s="5" t="s">
        <v>393</v>
      </c>
      <c r="C345" s="5" t="s">
        <v>20</v>
      </c>
      <c r="D345" s="5" t="s">
        <v>49</v>
      </c>
      <c r="E345" s="8" t="n">
        <v>10.3</v>
      </c>
      <c r="F345" s="6" t="n">
        <f aca="false">IFERROR(VLOOKUP(C345,BangGiaCuoc!$A$2:$C$9,3,0),0)</f>
        <v>110000</v>
      </c>
      <c r="G345" s="5" t="str">
        <f aca="false">IF(F345=0,"Lỗi mã (Cần kiểm tra)","Hợp lệ")</f>
        <v>Hợp lệ</v>
      </c>
      <c r="H345" s="5" t="s">
        <v>31</v>
      </c>
    </row>
    <row r="346" customFormat="false" ht="18.75" hidden="false" customHeight="true" outlineLevel="0" collapsed="false">
      <c r="A346" s="4" t="n">
        <v>345</v>
      </c>
      <c r="B346" s="3" t="s">
        <v>394</v>
      </c>
      <c r="C346" s="3" t="s">
        <v>14</v>
      </c>
      <c r="D346" s="3" t="s">
        <v>53</v>
      </c>
      <c r="E346" s="7" t="n">
        <v>6</v>
      </c>
      <c r="F346" s="4" t="n">
        <f aca="false">IFERROR(VLOOKUP(C346,BangGiaCuoc!$A$2:$C$9,3,0),0)</f>
        <v>75000</v>
      </c>
      <c r="G346" s="3" t="str">
        <f aca="false">IF(F346=0,"Lỗi mã (Cần kiểm tra)","Hợp lệ")</f>
        <v>Hợp lệ</v>
      </c>
      <c r="H346" s="3" t="s">
        <v>31</v>
      </c>
    </row>
    <row r="347" customFormat="false" ht="18.75" hidden="false" customHeight="true" outlineLevel="0" collapsed="false">
      <c r="A347" s="6" t="n">
        <v>346</v>
      </c>
      <c r="B347" s="5" t="s">
        <v>395</v>
      </c>
      <c r="C347" s="5" t="s">
        <v>16</v>
      </c>
      <c r="D347" s="5" t="s">
        <v>47</v>
      </c>
      <c r="E347" s="8" t="n">
        <v>10.3</v>
      </c>
      <c r="F347" s="6" t="n">
        <f aca="false">IFERROR(VLOOKUP(C347,BangGiaCuoc!$A$2:$C$9,3,0),0)</f>
        <v>65000</v>
      </c>
      <c r="G347" s="5" t="str">
        <f aca="false">IF(F347=0,"Lỗi mã (Cần kiểm tra)","Hợp lệ")</f>
        <v>Hợp lệ</v>
      </c>
      <c r="H347" s="5" t="s">
        <v>31</v>
      </c>
    </row>
    <row r="348" customFormat="false" ht="18.75" hidden="false" customHeight="true" outlineLevel="0" collapsed="false">
      <c r="A348" s="4" t="n">
        <v>347</v>
      </c>
      <c r="B348" s="3" t="s">
        <v>396</v>
      </c>
      <c r="C348" s="3" t="s">
        <v>20</v>
      </c>
      <c r="D348" s="3" t="s">
        <v>30</v>
      </c>
      <c r="E348" s="7" t="n">
        <v>9.5</v>
      </c>
      <c r="F348" s="4" t="n">
        <f aca="false">IFERROR(VLOOKUP(C348,BangGiaCuoc!$A$2:$C$9,3,0),0)</f>
        <v>110000</v>
      </c>
      <c r="G348" s="3" t="str">
        <f aca="false">IF(F348=0,"Lỗi mã (Cần kiểm tra)","Hợp lệ")</f>
        <v>Hợp lệ</v>
      </c>
      <c r="H348" s="3" t="s">
        <v>31</v>
      </c>
    </row>
    <row r="349" customFormat="false" ht="18.75" hidden="false" customHeight="true" outlineLevel="0" collapsed="false">
      <c r="A349" s="6" t="n">
        <v>348</v>
      </c>
      <c r="B349" s="5" t="s">
        <v>397</v>
      </c>
      <c r="C349" s="5" t="s">
        <v>16</v>
      </c>
      <c r="D349" s="5" t="s">
        <v>53</v>
      </c>
      <c r="E349" s="8" t="n">
        <v>3.7</v>
      </c>
      <c r="F349" s="6" t="n">
        <f aca="false">IFERROR(VLOOKUP(C349,BangGiaCuoc!$A$2:$C$9,3,0),0)</f>
        <v>65000</v>
      </c>
      <c r="G349" s="5" t="str">
        <f aca="false">IF(F349=0,"Lỗi mã (Cần kiểm tra)","Hợp lệ")</f>
        <v>Hợp lệ</v>
      </c>
      <c r="H349" s="5" t="s">
        <v>31</v>
      </c>
    </row>
    <row r="350" customFormat="false" ht="18.75" hidden="false" customHeight="true" outlineLevel="0" collapsed="false">
      <c r="A350" s="4" t="n">
        <v>349</v>
      </c>
      <c r="B350" s="3" t="s">
        <v>398</v>
      </c>
      <c r="C350" s="3" t="s">
        <v>8</v>
      </c>
      <c r="D350" s="3" t="s">
        <v>72</v>
      </c>
      <c r="E350" s="7" t="n">
        <v>13.7</v>
      </c>
      <c r="F350" s="4" t="n">
        <f aca="false">IFERROR(VLOOKUP(C350,BangGiaCuoc!$A$2:$C$9,3,0),0)</f>
        <v>40000</v>
      </c>
      <c r="G350" s="3" t="str">
        <f aca="false">IF(F350=0,"Lỗi mã (Cần kiểm tra)","Hợp lệ")</f>
        <v>Hợp lệ</v>
      </c>
      <c r="H350" s="3" t="s">
        <v>31</v>
      </c>
    </row>
    <row r="351" customFormat="false" ht="18.75" hidden="false" customHeight="true" outlineLevel="0" collapsed="false">
      <c r="A351" s="6" t="n">
        <v>350</v>
      </c>
      <c r="B351" s="5" t="s">
        <v>399</v>
      </c>
      <c r="C351" s="5" t="s">
        <v>14</v>
      </c>
      <c r="D351" s="5" t="s">
        <v>44</v>
      </c>
      <c r="E351" s="8" t="n">
        <v>2.2</v>
      </c>
      <c r="F351" s="6" t="n">
        <f aca="false">IFERROR(VLOOKUP(C351,BangGiaCuoc!$A$2:$C$9,3,0),0)</f>
        <v>75000</v>
      </c>
      <c r="G351" s="5" t="str">
        <f aca="false">IF(F351=0,"Lỗi mã (Cần kiểm tra)","Hợp lệ")</f>
        <v>Hợp lệ</v>
      </c>
      <c r="H351" s="5" t="s">
        <v>31</v>
      </c>
    </row>
    <row r="352" customFormat="false" ht="18.75" hidden="false" customHeight="true" outlineLevel="0" collapsed="false">
      <c r="A352" s="4" t="n">
        <v>351</v>
      </c>
      <c r="B352" s="3" t="s">
        <v>400</v>
      </c>
      <c r="C352" s="3" t="s">
        <v>5</v>
      </c>
      <c r="D352" s="3" t="s">
        <v>30</v>
      </c>
      <c r="E352" s="7" t="n">
        <v>4.9</v>
      </c>
      <c r="F352" s="4" t="n">
        <f aca="false">IFERROR(VLOOKUP(C352,BangGiaCuoc!$A$2:$C$9,3,0),0)</f>
        <v>22000</v>
      </c>
      <c r="G352" s="3" t="str">
        <f aca="false">IF(F352=0,"Lỗi mã (Cần kiểm tra)","Hợp lệ")</f>
        <v>Hợp lệ</v>
      </c>
      <c r="H352" s="3" t="s">
        <v>31</v>
      </c>
    </row>
    <row r="353" customFormat="false" ht="18.75" hidden="false" customHeight="true" outlineLevel="0" collapsed="false">
      <c r="A353" s="6" t="n">
        <v>352</v>
      </c>
      <c r="B353" s="5" t="s">
        <v>401</v>
      </c>
      <c r="C353" s="5" t="s">
        <v>20</v>
      </c>
      <c r="D353" s="5" t="s">
        <v>47</v>
      </c>
      <c r="E353" s="8" t="n">
        <v>1.9</v>
      </c>
      <c r="F353" s="6" t="n">
        <f aca="false">IFERROR(VLOOKUP(C353,BangGiaCuoc!$A$2:$C$9,3,0),0)</f>
        <v>110000</v>
      </c>
      <c r="G353" s="5" t="str">
        <f aca="false">IF(F353=0,"Lỗi mã (Cần kiểm tra)","Hợp lệ")</f>
        <v>Hợp lệ</v>
      </c>
      <c r="H353" s="5" t="s">
        <v>31</v>
      </c>
    </row>
    <row r="354" customFormat="false" ht="18.75" hidden="false" customHeight="true" outlineLevel="0" collapsed="false">
      <c r="A354" s="4" t="n">
        <v>353</v>
      </c>
      <c r="B354" s="3" t="s">
        <v>402</v>
      </c>
      <c r="C354" s="3" t="s">
        <v>10</v>
      </c>
      <c r="D354" s="3" t="s">
        <v>44</v>
      </c>
      <c r="E354" s="7" t="n">
        <v>7.1</v>
      </c>
      <c r="F354" s="4" t="n">
        <f aca="false">IFERROR(VLOOKUP(C354,BangGiaCuoc!$A$2:$C$9,3,0),0)</f>
        <v>32000</v>
      </c>
      <c r="G354" s="3" t="str">
        <f aca="false">IF(F354=0,"Lỗi mã (Cần kiểm tra)","Hợp lệ")</f>
        <v>Hợp lệ</v>
      </c>
      <c r="H354" s="3" t="s">
        <v>31</v>
      </c>
    </row>
    <row r="355" customFormat="false" ht="18.75" hidden="false" customHeight="true" outlineLevel="0" collapsed="false">
      <c r="A355" s="6" t="n">
        <v>354</v>
      </c>
      <c r="B355" s="5" t="s">
        <v>403</v>
      </c>
      <c r="C355" s="5" t="s">
        <v>18</v>
      </c>
      <c r="D355" s="5" t="s">
        <v>53</v>
      </c>
      <c r="E355" s="8" t="n">
        <v>11.3</v>
      </c>
      <c r="F355" s="6" t="n">
        <f aca="false">IFERROR(VLOOKUP(C355,BangGiaCuoc!$A$2:$C$9,3,0),0)</f>
        <v>90000</v>
      </c>
      <c r="G355" s="5" t="str">
        <f aca="false">IF(F355=0,"Lỗi mã (Cần kiểm tra)","Hợp lệ")</f>
        <v>Hợp lệ</v>
      </c>
      <c r="H355" s="5" t="s">
        <v>31</v>
      </c>
    </row>
    <row r="356" customFormat="false" ht="18.75" hidden="false" customHeight="true" outlineLevel="0" collapsed="false">
      <c r="A356" s="4" t="n">
        <v>355</v>
      </c>
      <c r="B356" s="3" t="s">
        <v>404</v>
      </c>
      <c r="C356" s="3" t="s">
        <v>10</v>
      </c>
      <c r="D356" s="3" t="s">
        <v>44</v>
      </c>
      <c r="E356" s="7" t="n">
        <v>10</v>
      </c>
      <c r="F356" s="4" t="n">
        <f aca="false">IFERROR(VLOOKUP(C356,BangGiaCuoc!$A$2:$C$9,3,0),0)</f>
        <v>32000</v>
      </c>
      <c r="G356" s="3" t="str">
        <f aca="false">IF(F356=0,"Lỗi mã (Cần kiểm tra)","Hợp lệ")</f>
        <v>Hợp lệ</v>
      </c>
      <c r="H356" s="3" t="s">
        <v>31</v>
      </c>
    </row>
    <row r="357" customFormat="false" ht="18.75" hidden="false" customHeight="true" outlineLevel="0" collapsed="false">
      <c r="A357" s="6" t="n">
        <v>356</v>
      </c>
      <c r="B357" s="5" t="s">
        <v>405</v>
      </c>
      <c r="C357" s="5" t="s">
        <v>20</v>
      </c>
      <c r="D357" s="5" t="s">
        <v>53</v>
      </c>
      <c r="E357" s="8" t="n">
        <v>6.4</v>
      </c>
      <c r="F357" s="6" t="n">
        <f aca="false">IFERROR(VLOOKUP(C357,BangGiaCuoc!$A$2:$C$9,3,0),0)</f>
        <v>110000</v>
      </c>
      <c r="G357" s="5" t="str">
        <f aca="false">IF(F357=0,"Lỗi mã (Cần kiểm tra)","Hợp lệ")</f>
        <v>Hợp lệ</v>
      </c>
      <c r="H357" s="5" t="s">
        <v>31</v>
      </c>
    </row>
    <row r="358" customFormat="false" ht="18.75" hidden="false" customHeight="true" outlineLevel="0" collapsed="false">
      <c r="A358" s="4" t="n">
        <v>357</v>
      </c>
      <c r="B358" s="3" t="s">
        <v>406</v>
      </c>
      <c r="C358" s="3" t="s">
        <v>14</v>
      </c>
      <c r="D358" s="3" t="s">
        <v>30</v>
      </c>
      <c r="E358" s="7" t="n">
        <v>10.5</v>
      </c>
      <c r="F358" s="4" t="n">
        <f aca="false">IFERROR(VLOOKUP(C358,BangGiaCuoc!$A$2:$C$9,3,0),0)</f>
        <v>75000</v>
      </c>
      <c r="G358" s="3" t="str">
        <f aca="false">IF(F358=0,"Lỗi mã (Cần kiểm tra)","Hợp lệ")</f>
        <v>Hợp lệ</v>
      </c>
      <c r="H358" s="3" t="s">
        <v>31</v>
      </c>
    </row>
    <row r="359" customFormat="false" ht="18.75" hidden="false" customHeight="true" outlineLevel="0" collapsed="false">
      <c r="A359" s="6" t="n">
        <v>358</v>
      </c>
      <c r="B359" s="5" t="s">
        <v>407</v>
      </c>
      <c r="C359" s="5" t="s">
        <v>12</v>
      </c>
      <c r="D359" s="5" t="s">
        <v>72</v>
      </c>
      <c r="E359" s="8" t="n">
        <v>6.9</v>
      </c>
      <c r="F359" s="6" t="n">
        <f aca="false">IFERROR(VLOOKUP(C359,BangGiaCuoc!$A$2:$C$9,3,0),0)</f>
        <v>55000</v>
      </c>
      <c r="G359" s="5" t="str">
        <f aca="false">IF(F359=0,"Lỗi mã (Cần kiểm tra)","Hợp lệ")</f>
        <v>Hợp lệ</v>
      </c>
      <c r="H359" s="5" t="s">
        <v>31</v>
      </c>
    </row>
    <row r="360" customFormat="false" ht="18.75" hidden="false" customHeight="true" outlineLevel="0" collapsed="false">
      <c r="A360" s="4" t="n">
        <v>359</v>
      </c>
      <c r="B360" s="3" t="s">
        <v>408</v>
      </c>
      <c r="C360" s="3" t="s">
        <v>12</v>
      </c>
      <c r="D360" s="3" t="s">
        <v>49</v>
      </c>
      <c r="E360" s="7" t="n">
        <v>1.9</v>
      </c>
      <c r="F360" s="4" t="n">
        <f aca="false">IFERROR(VLOOKUP(C360,BangGiaCuoc!$A$2:$C$9,3,0),0)</f>
        <v>55000</v>
      </c>
      <c r="G360" s="3" t="str">
        <f aca="false">IF(F360=0,"Lỗi mã (Cần kiểm tra)","Hợp lệ")</f>
        <v>Hợp lệ</v>
      </c>
      <c r="H360" s="3" t="s">
        <v>31</v>
      </c>
    </row>
    <row r="361" customFormat="false" ht="18.75" hidden="false" customHeight="true" outlineLevel="0" collapsed="false">
      <c r="A361" s="6" t="n">
        <v>360</v>
      </c>
      <c r="B361" s="5" t="s">
        <v>409</v>
      </c>
      <c r="C361" s="5" t="s">
        <v>16</v>
      </c>
      <c r="D361" s="5" t="s">
        <v>35</v>
      </c>
      <c r="E361" s="8" t="n">
        <v>13.6</v>
      </c>
      <c r="F361" s="6" t="n">
        <f aca="false">IFERROR(VLOOKUP(C361,BangGiaCuoc!$A$2:$C$9,3,0),0)</f>
        <v>65000</v>
      </c>
      <c r="G361" s="5" t="str">
        <f aca="false">IF(F361=0,"Lỗi mã (Cần kiểm tra)","Hợp lệ")</f>
        <v>Hợp lệ</v>
      </c>
      <c r="H361" s="5" t="s">
        <v>31</v>
      </c>
    </row>
    <row r="362" customFormat="false" ht="18.75" hidden="false" customHeight="true" outlineLevel="0" collapsed="false">
      <c r="A362" s="4" t="n">
        <v>361</v>
      </c>
      <c r="B362" s="3" t="s">
        <v>410</v>
      </c>
      <c r="C362" s="3" t="s">
        <v>16</v>
      </c>
      <c r="D362" s="3" t="s">
        <v>30</v>
      </c>
      <c r="E362" s="7" t="n">
        <v>6.3</v>
      </c>
      <c r="F362" s="4" t="n">
        <f aca="false">IFERROR(VLOOKUP(C362,BangGiaCuoc!$A$2:$C$9,3,0),0)</f>
        <v>65000</v>
      </c>
      <c r="G362" s="3" t="str">
        <f aca="false">IF(F362=0,"Lỗi mã (Cần kiểm tra)","Hợp lệ")</f>
        <v>Hợp lệ</v>
      </c>
      <c r="H362" s="3" t="s">
        <v>31</v>
      </c>
    </row>
    <row r="363" customFormat="false" ht="18.75" hidden="false" customHeight="true" outlineLevel="0" collapsed="false">
      <c r="A363" s="6" t="n">
        <v>362</v>
      </c>
      <c r="B363" s="5" t="s">
        <v>411</v>
      </c>
      <c r="C363" s="5" t="s">
        <v>12</v>
      </c>
      <c r="D363" s="5" t="s">
        <v>47</v>
      </c>
      <c r="E363" s="8" t="n">
        <v>14.3</v>
      </c>
      <c r="F363" s="6" t="n">
        <f aca="false">IFERROR(VLOOKUP(C363,BangGiaCuoc!$A$2:$C$9,3,0),0)</f>
        <v>55000</v>
      </c>
      <c r="G363" s="5" t="str">
        <f aca="false">IF(F363=0,"Lỗi mã (Cần kiểm tra)","Hợp lệ")</f>
        <v>Hợp lệ</v>
      </c>
      <c r="H363" s="5" t="s">
        <v>31</v>
      </c>
    </row>
    <row r="364" customFormat="false" ht="18.75" hidden="false" customHeight="true" outlineLevel="0" collapsed="false">
      <c r="A364" s="4" t="n">
        <v>363</v>
      </c>
      <c r="B364" s="3" t="s">
        <v>412</v>
      </c>
      <c r="C364" s="3" t="s">
        <v>20</v>
      </c>
      <c r="D364" s="3" t="s">
        <v>47</v>
      </c>
      <c r="E364" s="7" t="n">
        <v>10.1</v>
      </c>
      <c r="F364" s="4" t="n">
        <f aca="false">IFERROR(VLOOKUP(C364,BangGiaCuoc!$A$2:$C$9,3,0),0)</f>
        <v>110000</v>
      </c>
      <c r="G364" s="3" t="str">
        <f aca="false">IF(F364=0,"Lỗi mã (Cần kiểm tra)","Hợp lệ")</f>
        <v>Hợp lệ</v>
      </c>
      <c r="H364" s="3" t="s">
        <v>31</v>
      </c>
    </row>
    <row r="365" customFormat="false" ht="18.75" hidden="false" customHeight="true" outlineLevel="0" collapsed="false">
      <c r="A365" s="6" t="n">
        <v>364</v>
      </c>
      <c r="B365" s="5" t="s">
        <v>413</v>
      </c>
      <c r="C365" s="5" t="s">
        <v>5</v>
      </c>
      <c r="D365" s="5" t="s">
        <v>30</v>
      </c>
      <c r="E365" s="8" t="n">
        <v>11.9</v>
      </c>
      <c r="F365" s="6" t="n">
        <f aca="false">IFERROR(VLOOKUP(C365,BangGiaCuoc!$A$2:$C$9,3,0),0)</f>
        <v>22000</v>
      </c>
      <c r="G365" s="5" t="str">
        <f aca="false">IF(F365=0,"Lỗi mã (Cần kiểm tra)","Hợp lệ")</f>
        <v>Hợp lệ</v>
      </c>
      <c r="H365" s="5" t="s">
        <v>31</v>
      </c>
    </row>
    <row r="366" customFormat="false" ht="18.75" hidden="false" customHeight="true" outlineLevel="0" collapsed="false">
      <c r="A366" s="4" t="n">
        <v>365</v>
      </c>
      <c r="B366" s="3" t="s">
        <v>414</v>
      </c>
      <c r="C366" s="3" t="s">
        <v>12</v>
      </c>
      <c r="D366" s="3" t="s">
        <v>65</v>
      </c>
      <c r="E366" s="7" t="n">
        <v>11.9</v>
      </c>
      <c r="F366" s="4" t="n">
        <f aca="false">IFERROR(VLOOKUP(C366,BangGiaCuoc!$A$2:$C$9,3,0),0)</f>
        <v>55000</v>
      </c>
      <c r="G366" s="3" t="str">
        <f aca="false">IF(F366=0,"Lỗi mã (Cần kiểm tra)","Hợp lệ")</f>
        <v>Hợp lệ</v>
      </c>
      <c r="H366" s="3" t="s">
        <v>31</v>
      </c>
    </row>
    <row r="367" customFormat="false" ht="18.75" hidden="false" customHeight="true" outlineLevel="0" collapsed="false">
      <c r="A367" s="6" t="n">
        <v>366</v>
      </c>
      <c r="B367" s="5" t="s">
        <v>415</v>
      </c>
      <c r="C367" s="5" t="s">
        <v>12</v>
      </c>
      <c r="D367" s="5" t="s">
        <v>47</v>
      </c>
      <c r="E367" s="8" t="n">
        <v>12.5</v>
      </c>
      <c r="F367" s="6" t="n">
        <f aca="false">IFERROR(VLOOKUP(C367,BangGiaCuoc!$A$2:$C$9,3,0),0)</f>
        <v>55000</v>
      </c>
      <c r="G367" s="5" t="str">
        <f aca="false">IF(F367=0,"Lỗi mã (Cần kiểm tra)","Hợp lệ")</f>
        <v>Hợp lệ</v>
      </c>
      <c r="H367" s="5" t="s">
        <v>31</v>
      </c>
    </row>
    <row r="368" customFormat="false" ht="18.75" hidden="false" customHeight="true" outlineLevel="0" collapsed="false">
      <c r="A368" s="4" t="n">
        <v>367</v>
      </c>
      <c r="B368" s="3" t="s">
        <v>416</v>
      </c>
      <c r="C368" s="3" t="s">
        <v>12</v>
      </c>
      <c r="D368" s="3" t="s">
        <v>53</v>
      </c>
      <c r="E368" s="7" t="n">
        <v>3.6</v>
      </c>
      <c r="F368" s="4" t="n">
        <f aca="false">IFERROR(VLOOKUP(C368,BangGiaCuoc!$A$2:$C$9,3,0),0)</f>
        <v>55000</v>
      </c>
      <c r="G368" s="3" t="str">
        <f aca="false">IF(F368=0,"Lỗi mã (Cần kiểm tra)","Hợp lệ")</f>
        <v>Hợp lệ</v>
      </c>
      <c r="H368" s="3" t="s">
        <v>31</v>
      </c>
    </row>
    <row r="369" customFormat="false" ht="18.75" hidden="false" customHeight="true" outlineLevel="0" collapsed="false">
      <c r="A369" s="6" t="n">
        <v>368</v>
      </c>
      <c r="B369" s="5" t="s">
        <v>417</v>
      </c>
      <c r="C369" s="5" t="s">
        <v>12</v>
      </c>
      <c r="D369" s="5" t="s">
        <v>49</v>
      </c>
      <c r="E369" s="8" t="n">
        <v>11.7</v>
      </c>
      <c r="F369" s="6" t="n">
        <f aca="false">IFERROR(VLOOKUP(C369,BangGiaCuoc!$A$2:$C$9,3,0),0)</f>
        <v>55000</v>
      </c>
      <c r="G369" s="5" t="str">
        <f aca="false">IF(F369=0,"Lỗi mã (Cần kiểm tra)","Hợp lệ")</f>
        <v>Hợp lệ</v>
      </c>
      <c r="H369" s="5" t="s">
        <v>31</v>
      </c>
    </row>
    <row r="370" customFormat="false" ht="18.75" hidden="false" customHeight="true" outlineLevel="0" collapsed="false">
      <c r="A370" s="4" t="n">
        <v>369</v>
      </c>
      <c r="B370" s="3" t="s">
        <v>418</v>
      </c>
      <c r="C370" s="3" t="s">
        <v>5</v>
      </c>
      <c r="D370" s="3" t="s">
        <v>58</v>
      </c>
      <c r="E370" s="7" t="n">
        <v>12.9</v>
      </c>
      <c r="F370" s="4" t="n">
        <f aca="false">IFERROR(VLOOKUP(C370,BangGiaCuoc!$A$2:$C$9,3,0),0)</f>
        <v>22000</v>
      </c>
      <c r="G370" s="3" t="str">
        <f aca="false">IF(F370=0,"Lỗi mã (Cần kiểm tra)","Hợp lệ")</f>
        <v>Hợp lệ</v>
      </c>
      <c r="H370" s="3" t="s">
        <v>31</v>
      </c>
    </row>
    <row r="371" customFormat="false" ht="18.75" hidden="false" customHeight="true" outlineLevel="0" collapsed="false">
      <c r="A371" s="6" t="n">
        <v>370</v>
      </c>
      <c r="B371" s="5" t="s">
        <v>419</v>
      </c>
      <c r="C371" s="5" t="s">
        <v>10</v>
      </c>
      <c r="D371" s="5" t="s">
        <v>65</v>
      </c>
      <c r="E371" s="8" t="n">
        <v>8.3</v>
      </c>
      <c r="F371" s="6" t="n">
        <f aca="false">IFERROR(VLOOKUP(C371,BangGiaCuoc!$A$2:$C$9,3,0),0)</f>
        <v>32000</v>
      </c>
      <c r="G371" s="5" t="str">
        <f aca="false">IF(F371=0,"Lỗi mã (Cần kiểm tra)","Hợp lệ")</f>
        <v>Hợp lệ</v>
      </c>
      <c r="H371" s="5" t="s">
        <v>31</v>
      </c>
    </row>
    <row r="372" customFormat="false" ht="18.75" hidden="false" customHeight="true" outlineLevel="0" collapsed="false">
      <c r="A372" s="4" t="n">
        <v>371</v>
      </c>
      <c r="B372" s="3" t="s">
        <v>420</v>
      </c>
      <c r="C372" s="3" t="s">
        <v>10</v>
      </c>
      <c r="D372" s="3" t="s">
        <v>47</v>
      </c>
      <c r="E372" s="7" t="n">
        <v>10.1</v>
      </c>
      <c r="F372" s="4" t="n">
        <f aca="false">IFERROR(VLOOKUP(C372,BangGiaCuoc!$A$2:$C$9,3,0),0)</f>
        <v>32000</v>
      </c>
      <c r="G372" s="3" t="str">
        <f aca="false">IF(F372=0,"Lỗi mã (Cần kiểm tra)","Hợp lệ")</f>
        <v>Hợp lệ</v>
      </c>
      <c r="H372" s="3" t="s">
        <v>31</v>
      </c>
    </row>
    <row r="373" customFormat="false" ht="18.75" hidden="false" customHeight="true" outlineLevel="0" collapsed="false">
      <c r="A373" s="6" t="n">
        <v>372</v>
      </c>
      <c r="B373" s="5" t="s">
        <v>421</v>
      </c>
      <c r="C373" s="5" t="s">
        <v>5</v>
      </c>
      <c r="D373" s="5" t="s">
        <v>65</v>
      </c>
      <c r="E373" s="8" t="n">
        <v>0.7</v>
      </c>
      <c r="F373" s="6" t="n">
        <f aca="false">IFERROR(VLOOKUP(C373,BangGiaCuoc!$A$2:$C$9,3,0),0)</f>
        <v>22000</v>
      </c>
      <c r="G373" s="5" t="str">
        <f aca="false">IF(F373=0,"Lỗi mã (Cần kiểm tra)","Hợp lệ")</f>
        <v>Hợp lệ</v>
      </c>
      <c r="H373" s="5" t="s">
        <v>31</v>
      </c>
    </row>
    <row r="374" customFormat="false" ht="18.75" hidden="false" customHeight="true" outlineLevel="0" collapsed="false">
      <c r="A374" s="4" t="n">
        <v>373</v>
      </c>
      <c r="B374" s="3" t="s">
        <v>422</v>
      </c>
      <c r="C374" s="3" t="s">
        <v>12</v>
      </c>
      <c r="D374" s="3" t="s">
        <v>53</v>
      </c>
      <c r="E374" s="7" t="n">
        <v>5.2</v>
      </c>
      <c r="F374" s="4" t="n">
        <f aca="false">IFERROR(VLOOKUP(C374,BangGiaCuoc!$A$2:$C$9,3,0),0)</f>
        <v>55000</v>
      </c>
      <c r="G374" s="3" t="str">
        <f aca="false">IF(F374=0,"Lỗi mã (Cần kiểm tra)","Hợp lệ")</f>
        <v>Hợp lệ</v>
      </c>
      <c r="H374" s="3" t="s">
        <v>31</v>
      </c>
    </row>
    <row r="375" customFormat="false" ht="18.75" hidden="false" customHeight="true" outlineLevel="0" collapsed="false">
      <c r="A375" s="6" t="n">
        <v>374</v>
      </c>
      <c r="B375" s="5" t="s">
        <v>423</v>
      </c>
      <c r="C375" s="5" t="s">
        <v>10</v>
      </c>
      <c r="D375" s="5" t="s">
        <v>58</v>
      </c>
      <c r="E375" s="8" t="n">
        <v>1.3</v>
      </c>
      <c r="F375" s="6" t="n">
        <f aca="false">IFERROR(VLOOKUP(C375,BangGiaCuoc!$A$2:$C$9,3,0),0)</f>
        <v>32000</v>
      </c>
      <c r="G375" s="5" t="str">
        <f aca="false">IF(F375=0,"Lỗi mã (Cần kiểm tra)","Hợp lệ")</f>
        <v>Hợp lệ</v>
      </c>
      <c r="H375" s="5" t="s">
        <v>31</v>
      </c>
    </row>
    <row r="376" customFormat="false" ht="18.75" hidden="false" customHeight="true" outlineLevel="0" collapsed="false">
      <c r="A376" s="4" t="n">
        <v>375</v>
      </c>
      <c r="B376" s="3" t="s">
        <v>424</v>
      </c>
      <c r="C376" s="3" t="s">
        <v>18</v>
      </c>
      <c r="D376" s="3" t="s">
        <v>35</v>
      </c>
      <c r="E376" s="7" t="n">
        <v>2.1</v>
      </c>
      <c r="F376" s="4" t="n">
        <f aca="false">IFERROR(VLOOKUP(C376,BangGiaCuoc!$A$2:$C$9,3,0),0)</f>
        <v>90000</v>
      </c>
      <c r="G376" s="3" t="str">
        <f aca="false">IF(F376=0,"Lỗi mã (Cần kiểm tra)","Hợp lệ")</f>
        <v>Hợp lệ</v>
      </c>
      <c r="H376" s="3" t="s">
        <v>31</v>
      </c>
    </row>
    <row r="377" customFormat="false" ht="18.75" hidden="false" customHeight="true" outlineLevel="0" collapsed="false">
      <c r="A377" s="6" t="n">
        <v>376</v>
      </c>
      <c r="B377" s="5" t="s">
        <v>425</v>
      </c>
      <c r="C377" s="5" t="s">
        <v>8</v>
      </c>
      <c r="D377" s="5" t="s">
        <v>72</v>
      </c>
      <c r="E377" s="8" t="n">
        <v>7</v>
      </c>
      <c r="F377" s="6" t="n">
        <f aca="false">IFERROR(VLOOKUP(C377,BangGiaCuoc!$A$2:$C$9,3,0),0)</f>
        <v>40000</v>
      </c>
      <c r="G377" s="5" t="str">
        <f aca="false">IF(F377=0,"Lỗi mã (Cần kiểm tra)","Hợp lệ")</f>
        <v>Hợp lệ</v>
      </c>
      <c r="H377" s="5" t="s">
        <v>31</v>
      </c>
    </row>
    <row r="378" customFormat="false" ht="18.75" hidden="false" customHeight="true" outlineLevel="0" collapsed="false">
      <c r="A378" s="4" t="n">
        <v>377</v>
      </c>
      <c r="B378" s="3" t="s">
        <v>426</v>
      </c>
      <c r="C378" s="3" t="s">
        <v>16</v>
      </c>
      <c r="D378" s="3" t="s">
        <v>35</v>
      </c>
      <c r="E378" s="7" t="n">
        <v>9.1</v>
      </c>
      <c r="F378" s="4" t="n">
        <f aca="false">IFERROR(VLOOKUP(C378,BangGiaCuoc!$A$2:$C$9,3,0),0)</f>
        <v>65000</v>
      </c>
      <c r="G378" s="3" t="str">
        <f aca="false">IF(F378=0,"Lỗi mã (Cần kiểm tra)","Hợp lệ")</f>
        <v>Hợp lệ</v>
      </c>
      <c r="H378" s="3" t="s">
        <v>31</v>
      </c>
    </row>
    <row r="379" customFormat="false" ht="18.75" hidden="false" customHeight="true" outlineLevel="0" collapsed="false">
      <c r="A379" s="6" t="n">
        <v>378</v>
      </c>
      <c r="B379" s="5" t="s">
        <v>427</v>
      </c>
      <c r="C379" s="5" t="s">
        <v>20</v>
      </c>
      <c r="D379" s="5" t="s">
        <v>35</v>
      </c>
      <c r="E379" s="8" t="n">
        <v>3.7</v>
      </c>
      <c r="F379" s="6" t="n">
        <f aca="false">IFERROR(VLOOKUP(C379,BangGiaCuoc!$A$2:$C$9,3,0),0)</f>
        <v>110000</v>
      </c>
      <c r="G379" s="5" t="str">
        <f aca="false">IF(F379=0,"Lỗi mã (Cần kiểm tra)","Hợp lệ")</f>
        <v>Hợp lệ</v>
      </c>
      <c r="H379" s="5" t="s">
        <v>31</v>
      </c>
    </row>
    <row r="380" customFormat="false" ht="18.75" hidden="false" customHeight="true" outlineLevel="0" collapsed="false">
      <c r="A380" s="4" t="n">
        <v>379</v>
      </c>
      <c r="B380" s="3" t="s">
        <v>428</v>
      </c>
      <c r="C380" s="3" t="s">
        <v>5</v>
      </c>
      <c r="D380" s="3" t="s">
        <v>35</v>
      </c>
      <c r="E380" s="7" t="n">
        <v>4.9</v>
      </c>
      <c r="F380" s="4" t="n">
        <f aca="false">IFERROR(VLOOKUP(C380,BangGiaCuoc!$A$2:$C$9,3,0),0)</f>
        <v>22000</v>
      </c>
      <c r="G380" s="3" t="str">
        <f aca="false">IF(F380=0,"Lỗi mã (Cần kiểm tra)","Hợp lệ")</f>
        <v>Hợp lệ</v>
      </c>
      <c r="H380" s="3" t="s">
        <v>31</v>
      </c>
    </row>
    <row r="381" customFormat="false" ht="18.75" hidden="false" customHeight="true" outlineLevel="0" collapsed="false">
      <c r="A381" s="6" t="n">
        <v>380</v>
      </c>
      <c r="B381" s="5" t="s">
        <v>429</v>
      </c>
      <c r="C381" s="5" t="s">
        <v>5</v>
      </c>
      <c r="D381" s="5" t="s">
        <v>30</v>
      </c>
      <c r="E381" s="8" t="n">
        <v>15</v>
      </c>
      <c r="F381" s="6" t="n">
        <f aca="false">IFERROR(VLOOKUP(C381,BangGiaCuoc!$A$2:$C$9,3,0),0)</f>
        <v>22000</v>
      </c>
      <c r="G381" s="5" t="str">
        <f aca="false">IF(F381=0,"Lỗi mã (Cần kiểm tra)","Hợp lệ")</f>
        <v>Hợp lệ</v>
      </c>
      <c r="H381" s="5" t="s">
        <v>31</v>
      </c>
    </row>
    <row r="382" customFormat="false" ht="18.75" hidden="false" customHeight="true" outlineLevel="0" collapsed="false">
      <c r="A382" s="4" t="n">
        <v>381</v>
      </c>
      <c r="B382" s="3" t="s">
        <v>430</v>
      </c>
      <c r="C382" s="3" t="s">
        <v>18</v>
      </c>
      <c r="D382" s="3" t="s">
        <v>44</v>
      </c>
      <c r="E382" s="7" t="n">
        <v>10.4</v>
      </c>
      <c r="F382" s="4" t="n">
        <f aca="false">IFERROR(VLOOKUP(C382,BangGiaCuoc!$A$2:$C$9,3,0),0)</f>
        <v>90000</v>
      </c>
      <c r="G382" s="3" t="str">
        <f aca="false">IF(F382=0,"Lỗi mã (Cần kiểm tra)","Hợp lệ")</f>
        <v>Hợp lệ</v>
      </c>
      <c r="H382" s="3" t="s">
        <v>31</v>
      </c>
    </row>
    <row r="383" customFormat="false" ht="18.75" hidden="false" customHeight="true" outlineLevel="0" collapsed="false">
      <c r="A383" s="6" t="n">
        <v>382</v>
      </c>
      <c r="B383" s="5" t="s">
        <v>431</v>
      </c>
      <c r="C383" s="5" t="s">
        <v>20</v>
      </c>
      <c r="D383" s="5" t="s">
        <v>72</v>
      </c>
      <c r="E383" s="8" t="n">
        <v>1.6</v>
      </c>
      <c r="F383" s="6" t="n">
        <f aca="false">IFERROR(VLOOKUP(C383,BangGiaCuoc!$A$2:$C$9,3,0),0)</f>
        <v>110000</v>
      </c>
      <c r="G383" s="5" t="str">
        <f aca="false">IF(F383=0,"Lỗi mã (Cần kiểm tra)","Hợp lệ")</f>
        <v>Hợp lệ</v>
      </c>
      <c r="H383" s="5" t="s">
        <v>31</v>
      </c>
    </row>
    <row r="384" customFormat="false" ht="18.75" hidden="false" customHeight="true" outlineLevel="0" collapsed="false">
      <c r="A384" s="4" t="n">
        <v>383</v>
      </c>
      <c r="B384" s="3" t="s">
        <v>432</v>
      </c>
      <c r="C384" s="3" t="s">
        <v>8</v>
      </c>
      <c r="D384" s="3" t="s">
        <v>49</v>
      </c>
      <c r="E384" s="7" t="n">
        <v>9.3</v>
      </c>
      <c r="F384" s="4" t="n">
        <f aca="false">IFERROR(VLOOKUP(C384,BangGiaCuoc!$A$2:$C$9,3,0),0)</f>
        <v>40000</v>
      </c>
      <c r="G384" s="3" t="str">
        <f aca="false">IF(F384=0,"Lỗi mã (Cần kiểm tra)","Hợp lệ")</f>
        <v>Hợp lệ</v>
      </c>
      <c r="H384" s="3" t="s">
        <v>31</v>
      </c>
    </row>
    <row r="385" customFormat="false" ht="18.75" hidden="false" customHeight="true" outlineLevel="0" collapsed="false">
      <c r="A385" s="6" t="n">
        <v>384</v>
      </c>
      <c r="B385" s="5" t="s">
        <v>433</v>
      </c>
      <c r="C385" s="5" t="s">
        <v>8</v>
      </c>
      <c r="D385" s="5" t="s">
        <v>65</v>
      </c>
      <c r="E385" s="8" t="n">
        <v>4.5</v>
      </c>
      <c r="F385" s="6" t="n">
        <f aca="false">IFERROR(VLOOKUP(C385,BangGiaCuoc!$A$2:$C$9,3,0),0)</f>
        <v>40000</v>
      </c>
      <c r="G385" s="5" t="str">
        <f aca="false">IF(F385=0,"Lỗi mã (Cần kiểm tra)","Hợp lệ")</f>
        <v>Hợp lệ</v>
      </c>
      <c r="H385" s="5" t="s">
        <v>31</v>
      </c>
    </row>
    <row r="386" customFormat="false" ht="18.75" hidden="false" customHeight="true" outlineLevel="0" collapsed="false">
      <c r="A386" s="4" t="n">
        <v>385</v>
      </c>
      <c r="B386" s="3" t="s">
        <v>434</v>
      </c>
      <c r="C386" s="3" t="s">
        <v>16</v>
      </c>
      <c r="D386" s="3" t="s">
        <v>44</v>
      </c>
      <c r="E386" s="7" t="n">
        <v>14.9</v>
      </c>
      <c r="F386" s="4" t="n">
        <f aca="false">IFERROR(VLOOKUP(C386,BangGiaCuoc!$A$2:$C$9,3,0),0)</f>
        <v>65000</v>
      </c>
      <c r="G386" s="3" t="str">
        <f aca="false">IF(F386=0,"Lỗi mã (Cần kiểm tra)","Hợp lệ")</f>
        <v>Hợp lệ</v>
      </c>
      <c r="H386" s="3" t="s">
        <v>31</v>
      </c>
    </row>
    <row r="387" customFormat="false" ht="18.75" hidden="false" customHeight="true" outlineLevel="0" collapsed="false">
      <c r="A387" s="6" t="n">
        <v>386</v>
      </c>
      <c r="B387" s="5" t="s">
        <v>435</v>
      </c>
      <c r="C387" s="5" t="s">
        <v>14</v>
      </c>
      <c r="D387" s="5" t="s">
        <v>72</v>
      </c>
      <c r="E387" s="8" t="n">
        <v>7.8</v>
      </c>
      <c r="F387" s="6" t="n">
        <f aca="false">IFERROR(VLOOKUP(C387,BangGiaCuoc!$A$2:$C$9,3,0),0)</f>
        <v>75000</v>
      </c>
      <c r="G387" s="5" t="str">
        <f aca="false">IF(F387=0,"Lỗi mã (Cần kiểm tra)","Hợp lệ")</f>
        <v>Hợp lệ</v>
      </c>
      <c r="H387" s="5" t="s">
        <v>31</v>
      </c>
    </row>
    <row r="388" customFormat="false" ht="18.75" hidden="false" customHeight="true" outlineLevel="0" collapsed="false">
      <c r="A388" s="4" t="n">
        <v>387</v>
      </c>
      <c r="B388" s="3" t="s">
        <v>436</v>
      </c>
      <c r="C388" s="3" t="s">
        <v>18</v>
      </c>
      <c r="D388" s="3" t="s">
        <v>47</v>
      </c>
      <c r="E388" s="7" t="n">
        <v>12</v>
      </c>
      <c r="F388" s="4" t="n">
        <f aca="false">IFERROR(VLOOKUP(C388,BangGiaCuoc!$A$2:$C$9,3,0),0)</f>
        <v>90000</v>
      </c>
      <c r="G388" s="3" t="str">
        <f aca="false">IF(F388=0,"Lỗi mã (Cần kiểm tra)","Hợp lệ")</f>
        <v>Hợp lệ</v>
      </c>
      <c r="H388" s="3" t="s">
        <v>31</v>
      </c>
    </row>
    <row r="389" customFormat="false" ht="18.75" hidden="false" customHeight="true" outlineLevel="0" collapsed="false">
      <c r="A389" s="6" t="n">
        <v>388</v>
      </c>
      <c r="B389" s="5" t="s">
        <v>437</v>
      </c>
      <c r="C389" s="5" t="s">
        <v>8</v>
      </c>
      <c r="D389" s="5" t="s">
        <v>35</v>
      </c>
      <c r="E389" s="8" t="n">
        <v>11</v>
      </c>
      <c r="F389" s="6" t="n">
        <f aca="false">IFERROR(VLOOKUP(C389,BangGiaCuoc!$A$2:$C$9,3,0),0)</f>
        <v>40000</v>
      </c>
      <c r="G389" s="5" t="str">
        <f aca="false">IF(F389=0,"Lỗi mã (Cần kiểm tra)","Hợp lệ")</f>
        <v>Hợp lệ</v>
      </c>
      <c r="H389" s="5" t="s">
        <v>31</v>
      </c>
    </row>
    <row r="390" customFormat="false" ht="18.75" hidden="false" customHeight="true" outlineLevel="0" collapsed="false">
      <c r="A390" s="4" t="n">
        <v>389</v>
      </c>
      <c r="B390" s="3" t="s">
        <v>438</v>
      </c>
      <c r="C390" s="3" t="s">
        <v>12</v>
      </c>
      <c r="D390" s="3" t="s">
        <v>44</v>
      </c>
      <c r="E390" s="7" t="n">
        <v>7</v>
      </c>
      <c r="F390" s="4" t="n">
        <f aca="false">IFERROR(VLOOKUP(C390,BangGiaCuoc!$A$2:$C$9,3,0),0)</f>
        <v>55000</v>
      </c>
      <c r="G390" s="3" t="str">
        <f aca="false">IF(F390=0,"Lỗi mã (Cần kiểm tra)","Hợp lệ")</f>
        <v>Hợp lệ</v>
      </c>
      <c r="H390" s="3" t="s">
        <v>31</v>
      </c>
    </row>
    <row r="391" customFormat="false" ht="18.75" hidden="false" customHeight="true" outlineLevel="0" collapsed="false">
      <c r="A391" s="6" t="n">
        <v>390</v>
      </c>
      <c r="B391" s="5" t="s">
        <v>439</v>
      </c>
      <c r="C391" s="5" t="s">
        <v>12</v>
      </c>
      <c r="D391" s="5" t="s">
        <v>44</v>
      </c>
      <c r="E391" s="8" t="n">
        <v>5.4</v>
      </c>
      <c r="F391" s="6" t="n">
        <f aca="false">IFERROR(VLOOKUP(C391,BangGiaCuoc!$A$2:$C$9,3,0),0)</f>
        <v>55000</v>
      </c>
      <c r="G391" s="5" t="str">
        <f aca="false">IF(F391=0,"Lỗi mã (Cần kiểm tra)","Hợp lệ")</f>
        <v>Hợp lệ</v>
      </c>
      <c r="H391" s="5" t="s">
        <v>31</v>
      </c>
    </row>
    <row r="392" customFormat="false" ht="18.75" hidden="false" customHeight="true" outlineLevel="0" collapsed="false">
      <c r="A392" s="4" t="n">
        <v>391</v>
      </c>
      <c r="B392" s="3" t="s">
        <v>440</v>
      </c>
      <c r="C392" s="3" t="s">
        <v>20</v>
      </c>
      <c r="D392" s="3" t="s">
        <v>44</v>
      </c>
      <c r="E392" s="7" t="n">
        <v>6.5</v>
      </c>
      <c r="F392" s="4" t="n">
        <f aca="false">IFERROR(VLOOKUP(C392,BangGiaCuoc!$A$2:$C$9,3,0),0)</f>
        <v>110000</v>
      </c>
      <c r="G392" s="3" t="str">
        <f aca="false">IF(F392=0,"Lỗi mã (Cần kiểm tra)","Hợp lệ")</f>
        <v>Hợp lệ</v>
      </c>
      <c r="H392" s="3" t="s">
        <v>31</v>
      </c>
    </row>
    <row r="393" customFormat="false" ht="18.75" hidden="false" customHeight="true" outlineLevel="0" collapsed="false">
      <c r="A393" s="6" t="n">
        <v>392</v>
      </c>
      <c r="B393" s="5" t="s">
        <v>441</v>
      </c>
      <c r="C393" s="5" t="s">
        <v>8</v>
      </c>
      <c r="D393" s="5" t="s">
        <v>49</v>
      </c>
      <c r="E393" s="8" t="n">
        <v>6.7</v>
      </c>
      <c r="F393" s="6" t="n">
        <f aca="false">IFERROR(VLOOKUP(C393,BangGiaCuoc!$A$2:$C$9,3,0),0)</f>
        <v>40000</v>
      </c>
      <c r="G393" s="5" t="str">
        <f aca="false">IF(F393=0,"Lỗi mã (Cần kiểm tra)","Hợp lệ")</f>
        <v>Hợp lệ</v>
      </c>
      <c r="H393" s="5" t="s">
        <v>31</v>
      </c>
    </row>
    <row r="394" customFormat="false" ht="18.75" hidden="false" customHeight="true" outlineLevel="0" collapsed="false">
      <c r="A394" s="4" t="n">
        <v>393</v>
      </c>
      <c r="B394" s="3" t="s">
        <v>442</v>
      </c>
      <c r="C394" s="3" t="s">
        <v>14</v>
      </c>
      <c r="D394" s="3" t="s">
        <v>49</v>
      </c>
      <c r="E394" s="7" t="n">
        <v>14.3</v>
      </c>
      <c r="F394" s="4" t="n">
        <f aca="false">IFERROR(VLOOKUP(C394,BangGiaCuoc!$A$2:$C$9,3,0),0)</f>
        <v>75000</v>
      </c>
      <c r="G394" s="3" t="str">
        <f aca="false">IF(F394=0,"Lỗi mã (Cần kiểm tra)","Hợp lệ")</f>
        <v>Hợp lệ</v>
      </c>
      <c r="H394" s="3" t="s">
        <v>31</v>
      </c>
    </row>
    <row r="395" customFormat="false" ht="18.75" hidden="false" customHeight="true" outlineLevel="0" collapsed="false">
      <c r="A395" s="6" t="n">
        <v>394</v>
      </c>
      <c r="B395" s="5" t="s">
        <v>443</v>
      </c>
      <c r="C395" s="5" t="s">
        <v>20</v>
      </c>
      <c r="D395" s="5" t="s">
        <v>47</v>
      </c>
      <c r="E395" s="8" t="n">
        <v>1.8</v>
      </c>
      <c r="F395" s="6" t="n">
        <f aca="false">IFERROR(VLOOKUP(C395,BangGiaCuoc!$A$2:$C$9,3,0),0)</f>
        <v>110000</v>
      </c>
      <c r="G395" s="5" t="str">
        <f aca="false">IF(F395=0,"Lỗi mã (Cần kiểm tra)","Hợp lệ")</f>
        <v>Hợp lệ</v>
      </c>
      <c r="H395" s="5" t="s">
        <v>31</v>
      </c>
    </row>
    <row r="396" customFormat="false" ht="18.75" hidden="false" customHeight="true" outlineLevel="0" collapsed="false">
      <c r="A396" s="4" t="n">
        <v>395</v>
      </c>
      <c r="B396" s="3" t="s">
        <v>444</v>
      </c>
      <c r="C396" s="3" t="s">
        <v>8</v>
      </c>
      <c r="D396" s="3" t="s">
        <v>47</v>
      </c>
      <c r="E396" s="7" t="n">
        <v>6.8</v>
      </c>
      <c r="F396" s="4" t="n">
        <f aca="false">IFERROR(VLOOKUP(C396,BangGiaCuoc!$A$2:$C$9,3,0),0)</f>
        <v>40000</v>
      </c>
      <c r="G396" s="3" t="str">
        <f aca="false">IF(F396=0,"Lỗi mã (Cần kiểm tra)","Hợp lệ")</f>
        <v>Hợp lệ</v>
      </c>
      <c r="H396" s="3" t="s">
        <v>31</v>
      </c>
    </row>
    <row r="397" customFormat="false" ht="18.75" hidden="false" customHeight="true" outlineLevel="0" collapsed="false">
      <c r="A397" s="6" t="n">
        <v>396</v>
      </c>
      <c r="B397" s="5" t="s">
        <v>445</v>
      </c>
      <c r="C397" s="5" t="s">
        <v>16</v>
      </c>
      <c r="D397" s="5" t="s">
        <v>65</v>
      </c>
      <c r="E397" s="8" t="n">
        <v>8.6</v>
      </c>
      <c r="F397" s="6" t="n">
        <f aca="false">IFERROR(VLOOKUP(C397,BangGiaCuoc!$A$2:$C$9,3,0),0)</f>
        <v>65000</v>
      </c>
      <c r="G397" s="5" t="str">
        <f aca="false">IF(F397=0,"Lỗi mã (Cần kiểm tra)","Hợp lệ")</f>
        <v>Hợp lệ</v>
      </c>
      <c r="H397" s="5" t="s">
        <v>31</v>
      </c>
    </row>
    <row r="398" customFormat="false" ht="18.75" hidden="false" customHeight="true" outlineLevel="0" collapsed="false">
      <c r="A398" s="4" t="n">
        <v>397</v>
      </c>
      <c r="B398" s="3" t="s">
        <v>446</v>
      </c>
      <c r="C398" s="3" t="s">
        <v>16</v>
      </c>
      <c r="D398" s="3" t="s">
        <v>47</v>
      </c>
      <c r="E398" s="7" t="n">
        <v>6.5</v>
      </c>
      <c r="F398" s="4" t="n">
        <f aca="false">IFERROR(VLOOKUP(C398,BangGiaCuoc!$A$2:$C$9,3,0),0)</f>
        <v>65000</v>
      </c>
      <c r="G398" s="3" t="str">
        <f aca="false">IF(F398=0,"Lỗi mã (Cần kiểm tra)","Hợp lệ")</f>
        <v>Hợp lệ</v>
      </c>
      <c r="H398" s="3" t="s">
        <v>31</v>
      </c>
    </row>
    <row r="399" customFormat="false" ht="18.75" hidden="false" customHeight="true" outlineLevel="0" collapsed="false">
      <c r="A399" s="6" t="n">
        <v>398</v>
      </c>
      <c r="B399" s="5" t="s">
        <v>447</v>
      </c>
      <c r="C399" s="5" t="s">
        <v>18</v>
      </c>
      <c r="D399" s="5" t="s">
        <v>30</v>
      </c>
      <c r="E399" s="8" t="n">
        <v>14.5</v>
      </c>
      <c r="F399" s="6" t="n">
        <f aca="false">IFERROR(VLOOKUP(C399,BangGiaCuoc!$A$2:$C$9,3,0),0)</f>
        <v>90000</v>
      </c>
      <c r="G399" s="5" t="str">
        <f aca="false">IF(F399=0,"Lỗi mã (Cần kiểm tra)","Hợp lệ")</f>
        <v>Hợp lệ</v>
      </c>
      <c r="H399" s="5" t="s">
        <v>31</v>
      </c>
    </row>
    <row r="400" customFormat="false" ht="18.75" hidden="false" customHeight="true" outlineLevel="0" collapsed="false">
      <c r="A400" s="4" t="n">
        <v>399</v>
      </c>
      <c r="B400" s="3" t="s">
        <v>448</v>
      </c>
      <c r="C400" s="3" t="s">
        <v>14</v>
      </c>
      <c r="D400" s="3" t="s">
        <v>49</v>
      </c>
      <c r="E400" s="7" t="n">
        <v>2</v>
      </c>
      <c r="F400" s="4" t="n">
        <f aca="false">IFERROR(VLOOKUP(C400,BangGiaCuoc!$A$2:$C$9,3,0),0)</f>
        <v>75000</v>
      </c>
      <c r="G400" s="3" t="str">
        <f aca="false">IF(F400=0,"Lỗi mã (Cần kiểm tra)","Hợp lệ")</f>
        <v>Hợp lệ</v>
      </c>
      <c r="H400" s="3" t="s">
        <v>31</v>
      </c>
    </row>
    <row r="401" customFormat="false" ht="18.75" hidden="false" customHeight="true" outlineLevel="0" collapsed="false">
      <c r="A401" s="6" t="n">
        <v>400</v>
      </c>
      <c r="B401" s="5" t="s">
        <v>449</v>
      </c>
      <c r="C401" s="5" t="s">
        <v>12</v>
      </c>
      <c r="D401" s="5" t="s">
        <v>65</v>
      </c>
      <c r="E401" s="8" t="n">
        <v>10</v>
      </c>
      <c r="F401" s="6" t="n">
        <f aca="false">IFERROR(VLOOKUP(C401,BangGiaCuoc!$A$2:$C$9,3,0),0)</f>
        <v>55000</v>
      </c>
      <c r="G401" s="5" t="str">
        <f aca="false">IF(F401=0,"Lỗi mã (Cần kiểm tra)","Hợp lệ")</f>
        <v>Hợp lệ</v>
      </c>
      <c r="H401" s="5" t="s">
        <v>31</v>
      </c>
    </row>
    <row r="402" customFormat="false" ht="18.75" hidden="false" customHeight="true" outlineLevel="0" collapsed="false">
      <c r="A402" s="4" t="n">
        <v>401</v>
      </c>
      <c r="B402" s="3" t="s">
        <v>450</v>
      </c>
      <c r="C402" s="3" t="s">
        <v>12</v>
      </c>
      <c r="D402" s="3" t="s">
        <v>47</v>
      </c>
      <c r="E402" s="7" t="n">
        <v>5.6</v>
      </c>
      <c r="F402" s="4" t="n">
        <f aca="false">IFERROR(VLOOKUP(C402,BangGiaCuoc!$A$2:$C$9,3,0),0)</f>
        <v>55000</v>
      </c>
      <c r="G402" s="3" t="str">
        <f aca="false">IF(F402=0,"Lỗi mã (Cần kiểm tra)","Hợp lệ")</f>
        <v>Hợp lệ</v>
      </c>
      <c r="H402" s="3" t="s">
        <v>31</v>
      </c>
    </row>
    <row r="403" customFormat="false" ht="18.75" hidden="false" customHeight="true" outlineLevel="0" collapsed="false">
      <c r="A403" s="6" t="n">
        <v>402</v>
      </c>
      <c r="B403" s="5" t="s">
        <v>451</v>
      </c>
      <c r="C403" s="5" t="s">
        <v>16</v>
      </c>
      <c r="D403" s="5" t="s">
        <v>47</v>
      </c>
      <c r="E403" s="8" t="n">
        <v>11.6</v>
      </c>
      <c r="F403" s="6" t="n">
        <f aca="false">IFERROR(VLOOKUP(C403,BangGiaCuoc!$A$2:$C$9,3,0),0)</f>
        <v>65000</v>
      </c>
      <c r="G403" s="5" t="str">
        <f aca="false">IF(F403=0,"Lỗi mã (Cần kiểm tra)","Hợp lệ")</f>
        <v>Hợp lệ</v>
      </c>
      <c r="H403" s="5" t="s">
        <v>31</v>
      </c>
    </row>
    <row r="404" customFormat="false" ht="18.75" hidden="false" customHeight="true" outlineLevel="0" collapsed="false">
      <c r="A404" s="4" t="n">
        <v>403</v>
      </c>
      <c r="B404" s="3" t="s">
        <v>452</v>
      </c>
      <c r="C404" s="3" t="s">
        <v>12</v>
      </c>
      <c r="D404" s="3" t="s">
        <v>44</v>
      </c>
      <c r="E404" s="7" t="n">
        <v>12.8</v>
      </c>
      <c r="F404" s="4" t="n">
        <f aca="false">IFERROR(VLOOKUP(C404,BangGiaCuoc!$A$2:$C$9,3,0),0)</f>
        <v>55000</v>
      </c>
      <c r="G404" s="3" t="str">
        <f aca="false">IF(F404=0,"Lỗi mã (Cần kiểm tra)","Hợp lệ")</f>
        <v>Hợp lệ</v>
      </c>
      <c r="H404" s="3" t="s">
        <v>31</v>
      </c>
    </row>
    <row r="405" customFormat="false" ht="18.75" hidden="false" customHeight="true" outlineLevel="0" collapsed="false">
      <c r="A405" s="6" t="n">
        <v>404</v>
      </c>
      <c r="B405" s="5" t="s">
        <v>453</v>
      </c>
      <c r="C405" s="5" t="s">
        <v>5</v>
      </c>
      <c r="D405" s="5" t="s">
        <v>53</v>
      </c>
      <c r="E405" s="8" t="n">
        <v>14</v>
      </c>
      <c r="F405" s="6" t="n">
        <f aca="false">IFERROR(VLOOKUP(C405,BangGiaCuoc!$A$2:$C$9,3,0),0)</f>
        <v>22000</v>
      </c>
      <c r="G405" s="5" t="str">
        <f aca="false">IF(F405=0,"Lỗi mã (Cần kiểm tra)","Hợp lệ")</f>
        <v>Hợp lệ</v>
      </c>
      <c r="H405" s="5" t="s">
        <v>31</v>
      </c>
    </row>
    <row r="406" customFormat="false" ht="18.75" hidden="false" customHeight="true" outlineLevel="0" collapsed="false">
      <c r="A406" s="4" t="n">
        <v>405</v>
      </c>
      <c r="B406" s="3" t="s">
        <v>454</v>
      </c>
      <c r="C406" s="3" t="s">
        <v>14</v>
      </c>
      <c r="D406" s="3" t="s">
        <v>30</v>
      </c>
      <c r="E406" s="7" t="n">
        <v>3.1</v>
      </c>
      <c r="F406" s="4" t="n">
        <f aca="false">IFERROR(VLOOKUP(C406,BangGiaCuoc!$A$2:$C$9,3,0),0)</f>
        <v>75000</v>
      </c>
      <c r="G406" s="3" t="str">
        <f aca="false">IF(F406=0,"Lỗi mã (Cần kiểm tra)","Hợp lệ")</f>
        <v>Hợp lệ</v>
      </c>
      <c r="H406" s="3" t="s">
        <v>31</v>
      </c>
    </row>
    <row r="407" customFormat="false" ht="18.75" hidden="false" customHeight="true" outlineLevel="0" collapsed="false">
      <c r="A407" s="6" t="n">
        <v>406</v>
      </c>
      <c r="B407" s="5" t="s">
        <v>455</v>
      </c>
      <c r="C407" s="5" t="s">
        <v>14</v>
      </c>
      <c r="D407" s="5" t="s">
        <v>49</v>
      </c>
      <c r="E407" s="8" t="n">
        <v>5.6</v>
      </c>
      <c r="F407" s="6" t="n">
        <f aca="false">IFERROR(VLOOKUP(C407,BangGiaCuoc!$A$2:$C$9,3,0),0)</f>
        <v>75000</v>
      </c>
      <c r="G407" s="5" t="str">
        <f aca="false">IF(F407=0,"Lỗi mã (Cần kiểm tra)","Hợp lệ")</f>
        <v>Hợp lệ</v>
      </c>
      <c r="H407" s="5" t="s">
        <v>31</v>
      </c>
    </row>
    <row r="408" customFormat="false" ht="18.75" hidden="false" customHeight="true" outlineLevel="0" collapsed="false">
      <c r="A408" s="4" t="n">
        <v>407</v>
      </c>
      <c r="B408" s="3" t="s">
        <v>456</v>
      </c>
      <c r="C408" s="3" t="s">
        <v>10</v>
      </c>
      <c r="D408" s="3" t="s">
        <v>65</v>
      </c>
      <c r="E408" s="7" t="n">
        <v>8.7</v>
      </c>
      <c r="F408" s="4" t="n">
        <f aca="false">IFERROR(VLOOKUP(C408,BangGiaCuoc!$A$2:$C$9,3,0),0)</f>
        <v>32000</v>
      </c>
      <c r="G408" s="3" t="str">
        <f aca="false">IF(F408=0,"Lỗi mã (Cần kiểm tra)","Hợp lệ")</f>
        <v>Hợp lệ</v>
      </c>
      <c r="H408" s="3" t="s">
        <v>31</v>
      </c>
    </row>
    <row r="409" customFormat="false" ht="18.75" hidden="false" customHeight="true" outlineLevel="0" collapsed="false">
      <c r="A409" s="6" t="n">
        <v>408</v>
      </c>
      <c r="B409" s="5" t="s">
        <v>457</v>
      </c>
      <c r="C409" s="5" t="s">
        <v>18</v>
      </c>
      <c r="D409" s="5" t="s">
        <v>47</v>
      </c>
      <c r="E409" s="8" t="n">
        <v>2.6</v>
      </c>
      <c r="F409" s="6" t="n">
        <f aca="false">IFERROR(VLOOKUP(C409,BangGiaCuoc!$A$2:$C$9,3,0),0)</f>
        <v>90000</v>
      </c>
      <c r="G409" s="5" t="str">
        <f aca="false">IF(F409=0,"Lỗi mã (Cần kiểm tra)","Hợp lệ")</f>
        <v>Hợp lệ</v>
      </c>
      <c r="H409" s="5" t="s">
        <v>31</v>
      </c>
    </row>
    <row r="410" customFormat="false" ht="18.75" hidden="false" customHeight="true" outlineLevel="0" collapsed="false">
      <c r="A410" s="4" t="n">
        <v>409</v>
      </c>
      <c r="B410" s="3" t="s">
        <v>458</v>
      </c>
      <c r="C410" s="3" t="s">
        <v>5</v>
      </c>
      <c r="D410" s="3" t="s">
        <v>47</v>
      </c>
      <c r="E410" s="7" t="n">
        <v>11.3</v>
      </c>
      <c r="F410" s="4" t="n">
        <f aca="false">IFERROR(VLOOKUP(C410,BangGiaCuoc!$A$2:$C$9,3,0),0)</f>
        <v>22000</v>
      </c>
      <c r="G410" s="3" t="str">
        <f aca="false">IF(F410=0,"Lỗi mã (Cần kiểm tra)","Hợp lệ")</f>
        <v>Hợp lệ</v>
      </c>
      <c r="H410" s="3" t="s">
        <v>31</v>
      </c>
    </row>
    <row r="411" customFormat="false" ht="18.75" hidden="false" customHeight="true" outlineLevel="0" collapsed="false">
      <c r="A411" s="6" t="n">
        <v>410</v>
      </c>
      <c r="B411" s="5" t="s">
        <v>459</v>
      </c>
      <c r="C411" s="5" t="s">
        <v>12</v>
      </c>
      <c r="D411" s="5" t="s">
        <v>44</v>
      </c>
      <c r="E411" s="8" t="n">
        <v>6.6</v>
      </c>
      <c r="F411" s="6" t="n">
        <f aca="false">IFERROR(VLOOKUP(C411,BangGiaCuoc!$A$2:$C$9,3,0),0)</f>
        <v>55000</v>
      </c>
      <c r="G411" s="5" t="str">
        <f aca="false">IF(F411=0,"Lỗi mã (Cần kiểm tra)","Hợp lệ")</f>
        <v>Hợp lệ</v>
      </c>
      <c r="H411" s="5" t="s">
        <v>31</v>
      </c>
    </row>
    <row r="412" customFormat="false" ht="18.75" hidden="false" customHeight="true" outlineLevel="0" collapsed="false">
      <c r="A412" s="4" t="n">
        <v>411</v>
      </c>
      <c r="B412" s="3" t="s">
        <v>460</v>
      </c>
      <c r="C412" s="3" t="s">
        <v>16</v>
      </c>
      <c r="D412" s="3" t="s">
        <v>65</v>
      </c>
      <c r="E412" s="7" t="n">
        <v>5.9</v>
      </c>
      <c r="F412" s="4" t="n">
        <f aca="false">IFERROR(VLOOKUP(C412,BangGiaCuoc!$A$2:$C$9,3,0),0)</f>
        <v>65000</v>
      </c>
      <c r="G412" s="3" t="str">
        <f aca="false">IF(F412=0,"Lỗi mã (Cần kiểm tra)","Hợp lệ")</f>
        <v>Hợp lệ</v>
      </c>
      <c r="H412" s="3" t="s">
        <v>31</v>
      </c>
    </row>
    <row r="413" customFormat="false" ht="18.75" hidden="false" customHeight="true" outlineLevel="0" collapsed="false">
      <c r="A413" s="6" t="n">
        <v>412</v>
      </c>
      <c r="B413" s="5" t="s">
        <v>461</v>
      </c>
      <c r="C413" s="5" t="s">
        <v>16</v>
      </c>
      <c r="D413" s="5" t="s">
        <v>53</v>
      </c>
      <c r="E413" s="8" t="n">
        <v>9.1</v>
      </c>
      <c r="F413" s="6" t="n">
        <f aca="false">IFERROR(VLOOKUP(C413,BangGiaCuoc!$A$2:$C$9,3,0),0)</f>
        <v>65000</v>
      </c>
      <c r="G413" s="5" t="str">
        <f aca="false">IF(F413=0,"Lỗi mã (Cần kiểm tra)","Hợp lệ")</f>
        <v>Hợp lệ</v>
      </c>
      <c r="H413" s="5" t="s">
        <v>31</v>
      </c>
    </row>
    <row r="414" customFormat="false" ht="18.75" hidden="false" customHeight="true" outlineLevel="0" collapsed="false">
      <c r="A414" s="4" t="n">
        <v>413</v>
      </c>
      <c r="B414" s="3" t="s">
        <v>462</v>
      </c>
      <c r="C414" s="3" t="s">
        <v>5</v>
      </c>
      <c r="D414" s="3" t="s">
        <v>65</v>
      </c>
      <c r="E414" s="7" t="n">
        <v>2.8</v>
      </c>
      <c r="F414" s="4" t="n">
        <f aca="false">IFERROR(VLOOKUP(C414,BangGiaCuoc!$A$2:$C$9,3,0),0)</f>
        <v>22000</v>
      </c>
      <c r="G414" s="3" t="str">
        <f aca="false">IF(F414=0,"Lỗi mã (Cần kiểm tra)","Hợp lệ")</f>
        <v>Hợp lệ</v>
      </c>
      <c r="H414" s="3" t="s">
        <v>31</v>
      </c>
    </row>
    <row r="415" customFormat="false" ht="18.75" hidden="false" customHeight="true" outlineLevel="0" collapsed="false">
      <c r="A415" s="6" t="n">
        <v>414</v>
      </c>
      <c r="B415" s="5" t="s">
        <v>463</v>
      </c>
      <c r="C415" s="5" t="s">
        <v>5</v>
      </c>
      <c r="D415" s="5" t="s">
        <v>47</v>
      </c>
      <c r="E415" s="8" t="n">
        <v>4.4</v>
      </c>
      <c r="F415" s="6" t="n">
        <f aca="false">IFERROR(VLOOKUP(C415,BangGiaCuoc!$A$2:$C$9,3,0),0)</f>
        <v>22000</v>
      </c>
      <c r="G415" s="5" t="str">
        <f aca="false">IF(F415=0,"Lỗi mã (Cần kiểm tra)","Hợp lệ")</f>
        <v>Hợp lệ</v>
      </c>
      <c r="H415" s="5" t="s">
        <v>31</v>
      </c>
    </row>
    <row r="416" customFormat="false" ht="18.75" hidden="false" customHeight="true" outlineLevel="0" collapsed="false">
      <c r="A416" s="4" t="n">
        <v>415</v>
      </c>
      <c r="B416" s="3" t="s">
        <v>464</v>
      </c>
      <c r="C416" s="3" t="s">
        <v>18</v>
      </c>
      <c r="D416" s="3" t="s">
        <v>72</v>
      </c>
      <c r="E416" s="7" t="n">
        <v>9.3</v>
      </c>
      <c r="F416" s="4" t="n">
        <f aca="false">IFERROR(VLOOKUP(C416,BangGiaCuoc!$A$2:$C$9,3,0),0)</f>
        <v>90000</v>
      </c>
      <c r="G416" s="3" t="str">
        <f aca="false">IF(F416=0,"Lỗi mã (Cần kiểm tra)","Hợp lệ")</f>
        <v>Hợp lệ</v>
      </c>
      <c r="H416" s="3" t="s">
        <v>31</v>
      </c>
    </row>
    <row r="417" customFormat="false" ht="18.75" hidden="false" customHeight="true" outlineLevel="0" collapsed="false">
      <c r="A417" s="6" t="n">
        <v>416</v>
      </c>
      <c r="B417" s="5" t="s">
        <v>465</v>
      </c>
      <c r="C417" s="5" t="s">
        <v>18</v>
      </c>
      <c r="D417" s="5" t="s">
        <v>58</v>
      </c>
      <c r="E417" s="8" t="n">
        <v>3.6</v>
      </c>
      <c r="F417" s="6" t="n">
        <f aca="false">IFERROR(VLOOKUP(C417,BangGiaCuoc!$A$2:$C$9,3,0),0)</f>
        <v>90000</v>
      </c>
      <c r="G417" s="5" t="str">
        <f aca="false">IF(F417=0,"Lỗi mã (Cần kiểm tra)","Hợp lệ")</f>
        <v>Hợp lệ</v>
      </c>
      <c r="H417" s="5" t="s">
        <v>31</v>
      </c>
    </row>
    <row r="418" customFormat="false" ht="18.75" hidden="false" customHeight="true" outlineLevel="0" collapsed="false">
      <c r="A418" s="4" t="n">
        <v>417</v>
      </c>
      <c r="B418" s="3" t="s">
        <v>466</v>
      </c>
      <c r="C418" s="3" t="s">
        <v>8</v>
      </c>
      <c r="D418" s="3" t="s">
        <v>49</v>
      </c>
      <c r="E418" s="7" t="n">
        <v>6.7</v>
      </c>
      <c r="F418" s="4" t="n">
        <f aca="false">IFERROR(VLOOKUP(C418,BangGiaCuoc!$A$2:$C$9,3,0),0)</f>
        <v>40000</v>
      </c>
      <c r="G418" s="3" t="str">
        <f aca="false">IF(F418=0,"Lỗi mã (Cần kiểm tra)","Hợp lệ")</f>
        <v>Hợp lệ</v>
      </c>
      <c r="H418" s="3" t="s">
        <v>31</v>
      </c>
    </row>
    <row r="419" customFormat="false" ht="18.75" hidden="false" customHeight="true" outlineLevel="0" collapsed="false">
      <c r="A419" s="6" t="n">
        <v>418</v>
      </c>
      <c r="B419" s="5" t="s">
        <v>467</v>
      </c>
      <c r="C419" s="5" t="s">
        <v>14</v>
      </c>
      <c r="D419" s="5" t="s">
        <v>53</v>
      </c>
      <c r="E419" s="8" t="n">
        <v>7.6</v>
      </c>
      <c r="F419" s="6" t="n">
        <f aca="false">IFERROR(VLOOKUP(C419,BangGiaCuoc!$A$2:$C$9,3,0),0)</f>
        <v>75000</v>
      </c>
      <c r="G419" s="5" t="str">
        <f aca="false">IF(F419=0,"Lỗi mã (Cần kiểm tra)","Hợp lệ")</f>
        <v>Hợp lệ</v>
      </c>
      <c r="H419" s="5" t="s">
        <v>31</v>
      </c>
    </row>
    <row r="420" customFormat="false" ht="18.75" hidden="false" customHeight="true" outlineLevel="0" collapsed="false">
      <c r="A420" s="4" t="n">
        <v>419</v>
      </c>
      <c r="B420" s="3" t="s">
        <v>468</v>
      </c>
      <c r="C420" s="3" t="s">
        <v>14</v>
      </c>
      <c r="D420" s="3" t="s">
        <v>30</v>
      </c>
      <c r="E420" s="7" t="n">
        <v>3.7</v>
      </c>
      <c r="F420" s="4" t="n">
        <f aca="false">IFERROR(VLOOKUP(C420,BangGiaCuoc!$A$2:$C$9,3,0),0)</f>
        <v>75000</v>
      </c>
      <c r="G420" s="3" t="str">
        <f aca="false">IF(F420=0,"Lỗi mã (Cần kiểm tra)","Hợp lệ")</f>
        <v>Hợp lệ</v>
      </c>
      <c r="H420" s="3" t="s">
        <v>31</v>
      </c>
    </row>
    <row r="421" customFormat="false" ht="18.75" hidden="false" customHeight="true" outlineLevel="0" collapsed="false">
      <c r="A421" s="6" t="n">
        <v>420</v>
      </c>
      <c r="B421" s="5" t="s">
        <v>469</v>
      </c>
      <c r="C421" s="5" t="s">
        <v>5</v>
      </c>
      <c r="D421" s="5" t="s">
        <v>30</v>
      </c>
      <c r="E421" s="8" t="n">
        <v>3.5</v>
      </c>
      <c r="F421" s="6" t="n">
        <f aca="false">IFERROR(VLOOKUP(C421,BangGiaCuoc!$A$2:$C$9,3,0),0)</f>
        <v>22000</v>
      </c>
      <c r="G421" s="5" t="str">
        <f aca="false">IF(F421=0,"Lỗi mã (Cần kiểm tra)","Hợp lệ")</f>
        <v>Hợp lệ</v>
      </c>
      <c r="H421" s="5" t="s">
        <v>31</v>
      </c>
    </row>
    <row r="422" customFormat="false" ht="18.75" hidden="false" customHeight="true" outlineLevel="0" collapsed="false">
      <c r="A422" s="4" t="n">
        <v>421</v>
      </c>
      <c r="B422" s="3" t="s">
        <v>470</v>
      </c>
      <c r="C422" s="3" t="s">
        <v>12</v>
      </c>
      <c r="D422" s="3" t="s">
        <v>65</v>
      </c>
      <c r="E422" s="7" t="n">
        <v>11.6</v>
      </c>
      <c r="F422" s="4" t="n">
        <f aca="false">IFERROR(VLOOKUP(C422,BangGiaCuoc!$A$2:$C$9,3,0),0)</f>
        <v>55000</v>
      </c>
      <c r="G422" s="3" t="str">
        <f aca="false">IF(F422=0,"Lỗi mã (Cần kiểm tra)","Hợp lệ")</f>
        <v>Hợp lệ</v>
      </c>
      <c r="H422" s="3" t="s">
        <v>31</v>
      </c>
    </row>
    <row r="423" customFormat="false" ht="18.75" hidden="false" customHeight="true" outlineLevel="0" collapsed="false">
      <c r="A423" s="6" t="n">
        <v>422</v>
      </c>
      <c r="B423" s="5" t="s">
        <v>471</v>
      </c>
      <c r="C423" s="5" t="s">
        <v>14</v>
      </c>
      <c r="D423" s="5" t="s">
        <v>49</v>
      </c>
      <c r="E423" s="8" t="n">
        <v>2.2</v>
      </c>
      <c r="F423" s="6" t="n">
        <f aca="false">IFERROR(VLOOKUP(C423,BangGiaCuoc!$A$2:$C$9,3,0),0)</f>
        <v>75000</v>
      </c>
      <c r="G423" s="5" t="str">
        <f aca="false">IF(F423=0,"Lỗi mã (Cần kiểm tra)","Hợp lệ")</f>
        <v>Hợp lệ</v>
      </c>
      <c r="H423" s="5" t="s">
        <v>31</v>
      </c>
    </row>
    <row r="424" customFormat="false" ht="18.75" hidden="false" customHeight="true" outlineLevel="0" collapsed="false">
      <c r="A424" s="4" t="n">
        <v>423</v>
      </c>
      <c r="B424" s="3" t="s">
        <v>472</v>
      </c>
      <c r="C424" s="3" t="s">
        <v>20</v>
      </c>
      <c r="D424" s="3" t="s">
        <v>44</v>
      </c>
      <c r="E424" s="7" t="n">
        <v>3</v>
      </c>
      <c r="F424" s="4" t="n">
        <f aca="false">IFERROR(VLOOKUP(C424,BangGiaCuoc!$A$2:$C$9,3,0),0)</f>
        <v>110000</v>
      </c>
      <c r="G424" s="3" t="str">
        <f aca="false">IF(F424=0,"Lỗi mã (Cần kiểm tra)","Hợp lệ")</f>
        <v>Hợp lệ</v>
      </c>
      <c r="H424" s="3" t="s">
        <v>31</v>
      </c>
    </row>
    <row r="425" customFormat="false" ht="18.75" hidden="false" customHeight="true" outlineLevel="0" collapsed="false">
      <c r="A425" s="6" t="n">
        <v>424</v>
      </c>
      <c r="B425" s="5" t="s">
        <v>473</v>
      </c>
      <c r="C425" s="5" t="s">
        <v>18</v>
      </c>
      <c r="D425" s="5" t="s">
        <v>35</v>
      </c>
      <c r="E425" s="8" t="n">
        <v>10.7</v>
      </c>
      <c r="F425" s="6" t="n">
        <f aca="false">IFERROR(VLOOKUP(C425,BangGiaCuoc!$A$2:$C$9,3,0),0)</f>
        <v>90000</v>
      </c>
      <c r="G425" s="5" t="str">
        <f aca="false">IF(F425=0,"Lỗi mã (Cần kiểm tra)","Hợp lệ")</f>
        <v>Hợp lệ</v>
      </c>
      <c r="H425" s="5" t="s">
        <v>31</v>
      </c>
    </row>
    <row r="426" customFormat="false" ht="18.75" hidden="false" customHeight="true" outlineLevel="0" collapsed="false">
      <c r="A426" s="4" t="n">
        <v>425</v>
      </c>
      <c r="B426" s="3" t="s">
        <v>474</v>
      </c>
      <c r="C426" s="3" t="s">
        <v>16</v>
      </c>
      <c r="D426" s="3" t="s">
        <v>47</v>
      </c>
      <c r="E426" s="7" t="n">
        <v>6.3</v>
      </c>
      <c r="F426" s="4" t="n">
        <f aca="false">IFERROR(VLOOKUP(C426,BangGiaCuoc!$A$2:$C$9,3,0),0)</f>
        <v>65000</v>
      </c>
      <c r="G426" s="3" t="str">
        <f aca="false">IF(F426=0,"Lỗi mã (Cần kiểm tra)","Hợp lệ")</f>
        <v>Hợp lệ</v>
      </c>
      <c r="H426" s="3" t="s">
        <v>31</v>
      </c>
    </row>
    <row r="427" customFormat="false" ht="18.75" hidden="false" customHeight="true" outlineLevel="0" collapsed="false">
      <c r="A427" s="6" t="n">
        <v>426</v>
      </c>
      <c r="B427" s="5" t="s">
        <v>475</v>
      </c>
      <c r="C427" s="5" t="s">
        <v>5</v>
      </c>
      <c r="D427" s="5" t="s">
        <v>44</v>
      </c>
      <c r="E427" s="8" t="n">
        <v>0.8</v>
      </c>
      <c r="F427" s="6" t="n">
        <f aca="false">IFERROR(VLOOKUP(C427,BangGiaCuoc!$A$2:$C$9,3,0),0)</f>
        <v>22000</v>
      </c>
      <c r="G427" s="5" t="str">
        <f aca="false">IF(F427=0,"Lỗi mã (Cần kiểm tra)","Hợp lệ")</f>
        <v>Hợp lệ</v>
      </c>
      <c r="H427" s="5" t="s">
        <v>31</v>
      </c>
    </row>
    <row r="428" customFormat="false" ht="18.75" hidden="false" customHeight="true" outlineLevel="0" collapsed="false">
      <c r="A428" s="4" t="n">
        <v>427</v>
      </c>
      <c r="B428" s="3" t="s">
        <v>476</v>
      </c>
      <c r="C428" s="3" t="s">
        <v>8</v>
      </c>
      <c r="D428" s="3" t="s">
        <v>49</v>
      </c>
      <c r="E428" s="7" t="n">
        <v>8.8</v>
      </c>
      <c r="F428" s="4" t="n">
        <f aca="false">IFERROR(VLOOKUP(C428,BangGiaCuoc!$A$2:$C$9,3,0),0)</f>
        <v>40000</v>
      </c>
      <c r="G428" s="3" t="str">
        <f aca="false">IF(F428=0,"Lỗi mã (Cần kiểm tra)","Hợp lệ")</f>
        <v>Hợp lệ</v>
      </c>
      <c r="H428" s="3" t="s">
        <v>31</v>
      </c>
    </row>
    <row r="429" customFormat="false" ht="18.75" hidden="false" customHeight="true" outlineLevel="0" collapsed="false">
      <c r="A429" s="6" t="n">
        <v>428</v>
      </c>
      <c r="B429" s="5" t="s">
        <v>477</v>
      </c>
      <c r="C429" s="5" t="s">
        <v>18</v>
      </c>
      <c r="D429" s="5" t="s">
        <v>44</v>
      </c>
      <c r="E429" s="8" t="n">
        <v>4.7</v>
      </c>
      <c r="F429" s="6" t="n">
        <f aca="false">IFERROR(VLOOKUP(C429,BangGiaCuoc!$A$2:$C$9,3,0),0)</f>
        <v>90000</v>
      </c>
      <c r="G429" s="5" t="str">
        <f aca="false">IF(F429=0,"Lỗi mã (Cần kiểm tra)","Hợp lệ")</f>
        <v>Hợp lệ</v>
      </c>
      <c r="H429" s="5" t="s">
        <v>31</v>
      </c>
    </row>
    <row r="430" customFormat="false" ht="18.75" hidden="false" customHeight="true" outlineLevel="0" collapsed="false">
      <c r="A430" s="4" t="n">
        <v>429</v>
      </c>
      <c r="B430" s="3" t="s">
        <v>478</v>
      </c>
      <c r="C430" s="3" t="s">
        <v>18</v>
      </c>
      <c r="D430" s="3" t="s">
        <v>30</v>
      </c>
      <c r="E430" s="7" t="n">
        <v>14.5</v>
      </c>
      <c r="F430" s="4" t="n">
        <f aca="false">IFERROR(VLOOKUP(C430,BangGiaCuoc!$A$2:$C$9,3,0),0)</f>
        <v>90000</v>
      </c>
      <c r="G430" s="3" t="str">
        <f aca="false">IF(F430=0,"Lỗi mã (Cần kiểm tra)","Hợp lệ")</f>
        <v>Hợp lệ</v>
      </c>
      <c r="H430" s="3" t="s">
        <v>31</v>
      </c>
    </row>
    <row r="431" customFormat="false" ht="18.75" hidden="false" customHeight="true" outlineLevel="0" collapsed="false">
      <c r="A431" s="6" t="n">
        <v>430</v>
      </c>
      <c r="B431" s="5" t="s">
        <v>479</v>
      </c>
      <c r="C431" s="5" t="s">
        <v>10</v>
      </c>
      <c r="D431" s="5" t="s">
        <v>53</v>
      </c>
      <c r="E431" s="8" t="n">
        <v>7.2</v>
      </c>
      <c r="F431" s="6" t="n">
        <f aca="false">IFERROR(VLOOKUP(C431,BangGiaCuoc!$A$2:$C$9,3,0),0)</f>
        <v>32000</v>
      </c>
      <c r="G431" s="5" t="str">
        <f aca="false">IF(F431=0,"Lỗi mã (Cần kiểm tra)","Hợp lệ")</f>
        <v>Hợp lệ</v>
      </c>
      <c r="H431" s="5" t="s">
        <v>31</v>
      </c>
    </row>
    <row r="432" customFormat="false" ht="18.75" hidden="false" customHeight="true" outlineLevel="0" collapsed="false">
      <c r="A432" s="4" t="n">
        <v>431</v>
      </c>
      <c r="B432" s="3" t="s">
        <v>480</v>
      </c>
      <c r="C432" s="3" t="s">
        <v>16</v>
      </c>
      <c r="D432" s="3" t="s">
        <v>47</v>
      </c>
      <c r="E432" s="7" t="n">
        <v>6.8</v>
      </c>
      <c r="F432" s="4" t="n">
        <f aca="false">IFERROR(VLOOKUP(C432,BangGiaCuoc!$A$2:$C$9,3,0),0)</f>
        <v>65000</v>
      </c>
      <c r="G432" s="3" t="str">
        <f aca="false">IF(F432=0,"Lỗi mã (Cần kiểm tra)","Hợp lệ")</f>
        <v>Hợp lệ</v>
      </c>
      <c r="H432" s="3" t="s">
        <v>31</v>
      </c>
    </row>
    <row r="433" customFormat="false" ht="18.75" hidden="false" customHeight="true" outlineLevel="0" collapsed="false">
      <c r="A433" s="6" t="n">
        <v>432</v>
      </c>
      <c r="B433" s="5" t="s">
        <v>481</v>
      </c>
      <c r="C433" s="5" t="s">
        <v>8</v>
      </c>
      <c r="D433" s="5" t="s">
        <v>33</v>
      </c>
      <c r="E433" s="8" t="n">
        <v>6.8</v>
      </c>
      <c r="F433" s="6" t="n">
        <f aca="false">IFERROR(VLOOKUP(C433,BangGiaCuoc!$A$2:$C$9,3,0),0)</f>
        <v>40000</v>
      </c>
      <c r="G433" s="5" t="str">
        <f aca="false">IF(F433=0,"Lỗi mã (Cần kiểm tra)","Hợp lệ")</f>
        <v>Hợp lệ</v>
      </c>
      <c r="H433" s="5" t="s">
        <v>31</v>
      </c>
    </row>
    <row r="434" customFormat="false" ht="18.75" hidden="false" customHeight="true" outlineLevel="0" collapsed="false">
      <c r="A434" s="4" t="n">
        <v>433</v>
      </c>
      <c r="B434" s="3" t="s">
        <v>482</v>
      </c>
      <c r="C434" s="3" t="s">
        <v>18</v>
      </c>
      <c r="D434" s="3" t="s">
        <v>35</v>
      </c>
      <c r="E434" s="7" t="n">
        <v>1.6</v>
      </c>
      <c r="F434" s="4" t="n">
        <f aca="false">IFERROR(VLOOKUP(C434,BangGiaCuoc!$A$2:$C$9,3,0),0)</f>
        <v>90000</v>
      </c>
      <c r="G434" s="3" t="str">
        <f aca="false">IF(F434=0,"Lỗi mã (Cần kiểm tra)","Hợp lệ")</f>
        <v>Hợp lệ</v>
      </c>
      <c r="H434" s="3" t="s">
        <v>31</v>
      </c>
    </row>
    <row r="435" customFormat="false" ht="18.75" hidden="false" customHeight="true" outlineLevel="0" collapsed="false">
      <c r="A435" s="6" t="n">
        <v>434</v>
      </c>
      <c r="B435" s="5" t="s">
        <v>483</v>
      </c>
      <c r="C435" s="5" t="s">
        <v>14</v>
      </c>
      <c r="D435" s="5" t="s">
        <v>49</v>
      </c>
      <c r="E435" s="8" t="n">
        <v>3.7</v>
      </c>
      <c r="F435" s="6" t="n">
        <f aca="false">IFERROR(VLOOKUP(C435,BangGiaCuoc!$A$2:$C$9,3,0),0)</f>
        <v>75000</v>
      </c>
      <c r="G435" s="5" t="str">
        <f aca="false">IF(F435=0,"Lỗi mã (Cần kiểm tra)","Hợp lệ")</f>
        <v>Hợp lệ</v>
      </c>
      <c r="H435" s="5" t="s">
        <v>31</v>
      </c>
    </row>
    <row r="436" customFormat="false" ht="18.75" hidden="false" customHeight="true" outlineLevel="0" collapsed="false">
      <c r="A436" s="4" t="n">
        <v>435</v>
      </c>
      <c r="B436" s="3" t="s">
        <v>484</v>
      </c>
      <c r="C436" s="3" t="s">
        <v>10</v>
      </c>
      <c r="D436" s="3" t="s">
        <v>47</v>
      </c>
      <c r="E436" s="7" t="n">
        <v>7.9</v>
      </c>
      <c r="F436" s="4" t="n">
        <f aca="false">IFERROR(VLOOKUP(C436,BangGiaCuoc!$A$2:$C$9,3,0),0)</f>
        <v>32000</v>
      </c>
      <c r="G436" s="3" t="str">
        <f aca="false">IF(F436=0,"Lỗi mã (Cần kiểm tra)","Hợp lệ")</f>
        <v>Hợp lệ</v>
      </c>
      <c r="H436" s="3" t="s">
        <v>31</v>
      </c>
    </row>
    <row r="437" customFormat="false" ht="18.75" hidden="false" customHeight="true" outlineLevel="0" collapsed="false">
      <c r="A437" s="6" t="n">
        <v>436</v>
      </c>
      <c r="B437" s="5" t="s">
        <v>485</v>
      </c>
      <c r="C437" s="5" t="s">
        <v>8</v>
      </c>
      <c r="D437" s="5" t="s">
        <v>35</v>
      </c>
      <c r="E437" s="8" t="n">
        <v>7.9</v>
      </c>
      <c r="F437" s="6" t="n">
        <f aca="false">IFERROR(VLOOKUP(C437,BangGiaCuoc!$A$2:$C$9,3,0),0)</f>
        <v>40000</v>
      </c>
      <c r="G437" s="5" t="str">
        <f aca="false">IF(F437=0,"Lỗi mã (Cần kiểm tra)","Hợp lệ")</f>
        <v>Hợp lệ</v>
      </c>
      <c r="H437" s="5" t="s">
        <v>31</v>
      </c>
    </row>
    <row r="438" customFormat="false" ht="18.75" hidden="false" customHeight="true" outlineLevel="0" collapsed="false">
      <c r="A438" s="4" t="n">
        <v>437</v>
      </c>
      <c r="B438" s="3" t="s">
        <v>486</v>
      </c>
      <c r="C438" s="3" t="s">
        <v>16</v>
      </c>
      <c r="D438" s="3" t="s">
        <v>49</v>
      </c>
      <c r="E438" s="7" t="n">
        <v>11</v>
      </c>
      <c r="F438" s="4" t="n">
        <f aca="false">IFERROR(VLOOKUP(C438,BangGiaCuoc!$A$2:$C$9,3,0),0)</f>
        <v>65000</v>
      </c>
      <c r="G438" s="3" t="str">
        <f aca="false">IF(F438=0,"Lỗi mã (Cần kiểm tra)","Hợp lệ")</f>
        <v>Hợp lệ</v>
      </c>
      <c r="H438" s="3" t="s">
        <v>31</v>
      </c>
    </row>
    <row r="439" customFormat="false" ht="18.75" hidden="false" customHeight="true" outlineLevel="0" collapsed="false">
      <c r="A439" s="6" t="n">
        <v>438</v>
      </c>
      <c r="B439" s="5" t="s">
        <v>487</v>
      </c>
      <c r="C439" s="5" t="s">
        <v>10</v>
      </c>
      <c r="D439" s="5" t="s">
        <v>33</v>
      </c>
      <c r="E439" s="8" t="n">
        <v>2</v>
      </c>
      <c r="F439" s="6" t="n">
        <f aca="false">IFERROR(VLOOKUP(C439,BangGiaCuoc!$A$2:$C$9,3,0),0)</f>
        <v>32000</v>
      </c>
      <c r="G439" s="5" t="str">
        <f aca="false">IF(F439=0,"Lỗi mã (Cần kiểm tra)","Hợp lệ")</f>
        <v>Hợp lệ</v>
      </c>
      <c r="H439" s="5" t="s">
        <v>31</v>
      </c>
    </row>
    <row r="440" customFormat="false" ht="18.75" hidden="false" customHeight="true" outlineLevel="0" collapsed="false">
      <c r="A440" s="4" t="n">
        <v>439</v>
      </c>
      <c r="B440" s="3" t="s">
        <v>488</v>
      </c>
      <c r="C440" s="3" t="s">
        <v>14</v>
      </c>
      <c r="D440" s="3" t="s">
        <v>33</v>
      </c>
      <c r="E440" s="7" t="n">
        <v>3</v>
      </c>
      <c r="F440" s="4" t="n">
        <f aca="false">IFERROR(VLOOKUP(C440,BangGiaCuoc!$A$2:$C$9,3,0),0)</f>
        <v>75000</v>
      </c>
      <c r="G440" s="3" t="str">
        <f aca="false">IF(F440=0,"Lỗi mã (Cần kiểm tra)","Hợp lệ")</f>
        <v>Hợp lệ</v>
      </c>
      <c r="H440" s="3" t="s">
        <v>31</v>
      </c>
    </row>
    <row r="441" customFormat="false" ht="18.75" hidden="false" customHeight="true" outlineLevel="0" collapsed="false">
      <c r="A441" s="6" t="n">
        <v>440</v>
      </c>
      <c r="B441" s="5" t="s">
        <v>489</v>
      </c>
      <c r="C441" s="5" t="s">
        <v>10</v>
      </c>
      <c r="D441" s="5" t="s">
        <v>47</v>
      </c>
      <c r="E441" s="8" t="n">
        <v>3.1</v>
      </c>
      <c r="F441" s="6" t="n">
        <f aca="false">IFERROR(VLOOKUP(C441,BangGiaCuoc!$A$2:$C$9,3,0),0)</f>
        <v>32000</v>
      </c>
      <c r="G441" s="5" t="str">
        <f aca="false">IF(F441=0,"Lỗi mã (Cần kiểm tra)","Hợp lệ")</f>
        <v>Hợp lệ</v>
      </c>
      <c r="H441" s="5" t="s">
        <v>31</v>
      </c>
    </row>
    <row r="442" customFormat="false" ht="18.75" hidden="false" customHeight="true" outlineLevel="0" collapsed="false">
      <c r="A442" s="4" t="n">
        <v>441</v>
      </c>
      <c r="B442" s="3" t="s">
        <v>490</v>
      </c>
      <c r="C442" s="3" t="s">
        <v>20</v>
      </c>
      <c r="D442" s="3" t="s">
        <v>72</v>
      </c>
      <c r="E442" s="7" t="n">
        <v>11.4</v>
      </c>
      <c r="F442" s="4" t="n">
        <f aca="false">IFERROR(VLOOKUP(C442,BangGiaCuoc!$A$2:$C$9,3,0),0)</f>
        <v>110000</v>
      </c>
      <c r="G442" s="3" t="str">
        <f aca="false">IF(F442=0,"Lỗi mã (Cần kiểm tra)","Hợp lệ")</f>
        <v>Hợp lệ</v>
      </c>
      <c r="H442" s="3" t="s">
        <v>31</v>
      </c>
    </row>
    <row r="443" customFormat="false" ht="18.75" hidden="false" customHeight="true" outlineLevel="0" collapsed="false">
      <c r="A443" s="6" t="n">
        <v>442</v>
      </c>
      <c r="B443" s="5" t="s">
        <v>491</v>
      </c>
      <c r="C443" s="5" t="s">
        <v>20</v>
      </c>
      <c r="D443" s="5" t="s">
        <v>53</v>
      </c>
      <c r="E443" s="8" t="n">
        <v>9.8</v>
      </c>
      <c r="F443" s="6" t="n">
        <f aca="false">IFERROR(VLOOKUP(C443,BangGiaCuoc!$A$2:$C$9,3,0),0)</f>
        <v>110000</v>
      </c>
      <c r="G443" s="5" t="str">
        <f aca="false">IF(F443=0,"Lỗi mã (Cần kiểm tra)","Hợp lệ")</f>
        <v>Hợp lệ</v>
      </c>
      <c r="H443" s="5" t="s">
        <v>31</v>
      </c>
    </row>
    <row r="444" customFormat="false" ht="18.75" hidden="false" customHeight="true" outlineLevel="0" collapsed="false">
      <c r="A444" s="4" t="n">
        <v>443</v>
      </c>
      <c r="B444" s="3" t="s">
        <v>492</v>
      </c>
      <c r="C444" s="3" t="s">
        <v>16</v>
      </c>
      <c r="D444" s="3" t="s">
        <v>49</v>
      </c>
      <c r="E444" s="7" t="n">
        <v>2.7</v>
      </c>
      <c r="F444" s="4" t="n">
        <f aca="false">IFERROR(VLOOKUP(C444,BangGiaCuoc!$A$2:$C$9,3,0),0)</f>
        <v>65000</v>
      </c>
      <c r="G444" s="3" t="str">
        <f aca="false">IF(F444=0,"Lỗi mã (Cần kiểm tra)","Hợp lệ")</f>
        <v>Hợp lệ</v>
      </c>
      <c r="H444" s="3" t="s">
        <v>31</v>
      </c>
    </row>
    <row r="445" customFormat="false" ht="18.75" hidden="false" customHeight="true" outlineLevel="0" collapsed="false">
      <c r="A445" s="6" t="n">
        <v>444</v>
      </c>
      <c r="B445" s="5" t="s">
        <v>493</v>
      </c>
      <c r="C445" s="5" t="s">
        <v>8</v>
      </c>
      <c r="D445" s="5" t="s">
        <v>72</v>
      </c>
      <c r="E445" s="8" t="n">
        <v>6.9</v>
      </c>
      <c r="F445" s="6" t="n">
        <f aca="false">IFERROR(VLOOKUP(C445,BangGiaCuoc!$A$2:$C$9,3,0),0)</f>
        <v>40000</v>
      </c>
      <c r="G445" s="5" t="str">
        <f aca="false">IF(F445=0,"Lỗi mã (Cần kiểm tra)","Hợp lệ")</f>
        <v>Hợp lệ</v>
      </c>
      <c r="H445" s="5" t="s">
        <v>31</v>
      </c>
    </row>
    <row r="446" customFormat="false" ht="18.75" hidden="false" customHeight="true" outlineLevel="0" collapsed="false">
      <c r="A446" s="4" t="n">
        <v>445</v>
      </c>
      <c r="B446" s="3" t="s">
        <v>494</v>
      </c>
      <c r="C446" s="3" t="s">
        <v>14</v>
      </c>
      <c r="D446" s="3" t="s">
        <v>58</v>
      </c>
      <c r="E446" s="7" t="n">
        <v>9.1</v>
      </c>
      <c r="F446" s="4" t="n">
        <f aca="false">IFERROR(VLOOKUP(C446,BangGiaCuoc!$A$2:$C$9,3,0),0)</f>
        <v>75000</v>
      </c>
      <c r="G446" s="3" t="str">
        <f aca="false">IF(F446=0,"Lỗi mã (Cần kiểm tra)","Hợp lệ")</f>
        <v>Hợp lệ</v>
      </c>
      <c r="H446" s="3" t="s">
        <v>31</v>
      </c>
    </row>
    <row r="447" customFormat="false" ht="18.75" hidden="false" customHeight="true" outlineLevel="0" collapsed="false">
      <c r="A447" s="6" t="n">
        <v>446</v>
      </c>
      <c r="B447" s="5" t="s">
        <v>495</v>
      </c>
      <c r="C447" s="5" t="s">
        <v>16</v>
      </c>
      <c r="D447" s="5" t="s">
        <v>35</v>
      </c>
      <c r="E447" s="8" t="n">
        <v>1.6</v>
      </c>
      <c r="F447" s="6" t="n">
        <f aca="false">IFERROR(VLOOKUP(C447,BangGiaCuoc!$A$2:$C$9,3,0),0)</f>
        <v>65000</v>
      </c>
      <c r="G447" s="5" t="str">
        <f aca="false">IF(F447=0,"Lỗi mã (Cần kiểm tra)","Hợp lệ")</f>
        <v>Hợp lệ</v>
      </c>
      <c r="H447" s="5" t="s">
        <v>31</v>
      </c>
    </row>
    <row r="448" customFormat="false" ht="18.75" hidden="false" customHeight="true" outlineLevel="0" collapsed="false">
      <c r="A448" s="4" t="n">
        <v>447</v>
      </c>
      <c r="B448" s="3" t="s">
        <v>496</v>
      </c>
      <c r="C448" s="3" t="s">
        <v>20</v>
      </c>
      <c r="D448" s="3" t="s">
        <v>72</v>
      </c>
      <c r="E448" s="7" t="n">
        <v>1</v>
      </c>
      <c r="F448" s="4" t="n">
        <f aca="false">IFERROR(VLOOKUP(C448,BangGiaCuoc!$A$2:$C$9,3,0),0)</f>
        <v>110000</v>
      </c>
      <c r="G448" s="3" t="str">
        <f aca="false">IF(F448=0,"Lỗi mã (Cần kiểm tra)","Hợp lệ")</f>
        <v>Hợp lệ</v>
      </c>
      <c r="H448" s="3" t="s">
        <v>31</v>
      </c>
    </row>
    <row r="449" customFormat="false" ht="18.75" hidden="false" customHeight="true" outlineLevel="0" collapsed="false">
      <c r="A449" s="6" t="n">
        <v>448</v>
      </c>
      <c r="B449" s="5" t="s">
        <v>497</v>
      </c>
      <c r="C449" s="5" t="s">
        <v>16</v>
      </c>
      <c r="D449" s="5" t="s">
        <v>58</v>
      </c>
      <c r="E449" s="8" t="n">
        <v>1.6</v>
      </c>
      <c r="F449" s="6" t="n">
        <f aca="false">IFERROR(VLOOKUP(C449,BangGiaCuoc!$A$2:$C$9,3,0),0)</f>
        <v>65000</v>
      </c>
      <c r="G449" s="5" t="str">
        <f aca="false">IF(F449=0,"Lỗi mã (Cần kiểm tra)","Hợp lệ")</f>
        <v>Hợp lệ</v>
      </c>
      <c r="H449" s="5" t="s">
        <v>31</v>
      </c>
    </row>
    <row r="450" customFormat="false" ht="18.75" hidden="false" customHeight="true" outlineLevel="0" collapsed="false">
      <c r="A450" s="4" t="n">
        <v>449</v>
      </c>
      <c r="B450" s="3" t="s">
        <v>498</v>
      </c>
      <c r="C450" s="3" t="s">
        <v>8</v>
      </c>
      <c r="D450" s="3" t="s">
        <v>53</v>
      </c>
      <c r="E450" s="7" t="n">
        <v>9.1</v>
      </c>
      <c r="F450" s="4" t="n">
        <f aca="false">IFERROR(VLOOKUP(C450,BangGiaCuoc!$A$2:$C$9,3,0),0)</f>
        <v>40000</v>
      </c>
      <c r="G450" s="3" t="str">
        <f aca="false">IF(F450=0,"Lỗi mã (Cần kiểm tra)","Hợp lệ")</f>
        <v>Hợp lệ</v>
      </c>
      <c r="H450" s="3" t="s">
        <v>31</v>
      </c>
    </row>
    <row r="451" customFormat="false" ht="18.75" hidden="false" customHeight="true" outlineLevel="0" collapsed="false">
      <c r="A451" s="6" t="n">
        <v>450</v>
      </c>
      <c r="B451" s="5" t="s">
        <v>499</v>
      </c>
      <c r="C451" s="5" t="s">
        <v>18</v>
      </c>
      <c r="D451" s="5" t="s">
        <v>72</v>
      </c>
      <c r="E451" s="8" t="n">
        <v>8.9</v>
      </c>
      <c r="F451" s="6" t="n">
        <f aca="false">IFERROR(VLOOKUP(C451,BangGiaCuoc!$A$2:$C$9,3,0),0)</f>
        <v>90000</v>
      </c>
      <c r="G451" s="5" t="str">
        <f aca="false">IF(F451=0,"Lỗi mã (Cần kiểm tra)","Hợp lệ")</f>
        <v>Hợp lệ</v>
      </c>
      <c r="H451" s="5" t="s">
        <v>31</v>
      </c>
    </row>
    <row r="452" customFormat="false" ht="18.75" hidden="false" customHeight="true" outlineLevel="0" collapsed="false">
      <c r="A452" s="4" t="n">
        <v>451</v>
      </c>
      <c r="B452" s="3" t="s">
        <v>500</v>
      </c>
      <c r="C452" s="3" t="s">
        <v>5</v>
      </c>
      <c r="D452" s="3" t="s">
        <v>72</v>
      </c>
      <c r="E452" s="7" t="n">
        <v>13.7</v>
      </c>
      <c r="F452" s="4" t="n">
        <f aca="false">IFERROR(VLOOKUP(C452,BangGiaCuoc!$A$2:$C$9,3,0),0)</f>
        <v>22000</v>
      </c>
      <c r="G452" s="3" t="str">
        <f aca="false">IF(F452=0,"Lỗi mã (Cần kiểm tra)","Hợp lệ")</f>
        <v>Hợp lệ</v>
      </c>
      <c r="H452" s="3" t="s">
        <v>31</v>
      </c>
    </row>
    <row r="453" customFormat="false" ht="18.75" hidden="false" customHeight="true" outlineLevel="0" collapsed="false">
      <c r="A453" s="6" t="n">
        <v>452</v>
      </c>
      <c r="B453" s="5" t="s">
        <v>501</v>
      </c>
      <c r="C453" s="5" t="s">
        <v>12</v>
      </c>
      <c r="D453" s="5" t="s">
        <v>49</v>
      </c>
      <c r="E453" s="8" t="n">
        <v>9.3</v>
      </c>
      <c r="F453" s="6" t="n">
        <f aca="false">IFERROR(VLOOKUP(C453,BangGiaCuoc!$A$2:$C$9,3,0),0)</f>
        <v>55000</v>
      </c>
      <c r="G453" s="5" t="str">
        <f aca="false">IF(F453=0,"Lỗi mã (Cần kiểm tra)","Hợp lệ")</f>
        <v>Hợp lệ</v>
      </c>
      <c r="H453" s="5" t="s">
        <v>31</v>
      </c>
    </row>
    <row r="454" customFormat="false" ht="18.75" hidden="false" customHeight="true" outlineLevel="0" collapsed="false">
      <c r="A454" s="4" t="n">
        <v>453</v>
      </c>
      <c r="B454" s="3" t="s">
        <v>502</v>
      </c>
      <c r="C454" s="3" t="s">
        <v>10</v>
      </c>
      <c r="D454" s="3" t="s">
        <v>30</v>
      </c>
      <c r="E454" s="7" t="n">
        <v>7</v>
      </c>
      <c r="F454" s="4" t="n">
        <f aca="false">IFERROR(VLOOKUP(C454,BangGiaCuoc!$A$2:$C$9,3,0),0)</f>
        <v>32000</v>
      </c>
      <c r="G454" s="3" t="str">
        <f aca="false">IF(F454=0,"Lỗi mã (Cần kiểm tra)","Hợp lệ")</f>
        <v>Hợp lệ</v>
      </c>
      <c r="H454" s="3" t="s">
        <v>31</v>
      </c>
    </row>
    <row r="455" customFormat="false" ht="18.75" hidden="false" customHeight="true" outlineLevel="0" collapsed="false">
      <c r="A455" s="6" t="n">
        <v>454</v>
      </c>
      <c r="B455" s="5" t="s">
        <v>503</v>
      </c>
      <c r="C455" s="5" t="s">
        <v>16</v>
      </c>
      <c r="D455" s="5" t="s">
        <v>47</v>
      </c>
      <c r="E455" s="8" t="n">
        <v>7.8</v>
      </c>
      <c r="F455" s="6" t="n">
        <f aca="false">IFERROR(VLOOKUP(C455,BangGiaCuoc!$A$2:$C$9,3,0),0)</f>
        <v>65000</v>
      </c>
      <c r="G455" s="5" t="str">
        <f aca="false">IF(F455=0,"Lỗi mã (Cần kiểm tra)","Hợp lệ")</f>
        <v>Hợp lệ</v>
      </c>
      <c r="H455" s="5" t="s">
        <v>31</v>
      </c>
    </row>
    <row r="456" customFormat="false" ht="18.75" hidden="false" customHeight="true" outlineLevel="0" collapsed="false">
      <c r="A456" s="4" t="n">
        <v>455</v>
      </c>
      <c r="B456" s="3" t="s">
        <v>504</v>
      </c>
      <c r="C456" s="3" t="s">
        <v>10</v>
      </c>
      <c r="D456" s="3" t="s">
        <v>30</v>
      </c>
      <c r="E456" s="7" t="n">
        <v>4.1</v>
      </c>
      <c r="F456" s="4" t="n">
        <f aca="false">IFERROR(VLOOKUP(C456,BangGiaCuoc!$A$2:$C$9,3,0),0)</f>
        <v>32000</v>
      </c>
      <c r="G456" s="3" t="str">
        <f aca="false">IF(F456=0,"Lỗi mã (Cần kiểm tra)","Hợp lệ")</f>
        <v>Hợp lệ</v>
      </c>
      <c r="H456" s="3" t="s">
        <v>31</v>
      </c>
    </row>
    <row r="457" customFormat="false" ht="18.75" hidden="false" customHeight="true" outlineLevel="0" collapsed="false">
      <c r="A457" s="6" t="n">
        <v>456</v>
      </c>
      <c r="B457" s="5" t="s">
        <v>505</v>
      </c>
      <c r="C457" s="5" t="s">
        <v>20</v>
      </c>
      <c r="D457" s="5" t="s">
        <v>72</v>
      </c>
      <c r="E457" s="8" t="n">
        <v>8.1</v>
      </c>
      <c r="F457" s="6" t="n">
        <f aca="false">IFERROR(VLOOKUP(C457,BangGiaCuoc!$A$2:$C$9,3,0),0)</f>
        <v>110000</v>
      </c>
      <c r="G457" s="5" t="str">
        <f aca="false">IF(F457=0,"Lỗi mã (Cần kiểm tra)","Hợp lệ")</f>
        <v>Hợp lệ</v>
      </c>
      <c r="H457" s="5" t="s">
        <v>31</v>
      </c>
    </row>
    <row r="458" customFormat="false" ht="18.75" hidden="false" customHeight="true" outlineLevel="0" collapsed="false">
      <c r="A458" s="4" t="n">
        <v>457</v>
      </c>
      <c r="B458" s="3" t="s">
        <v>506</v>
      </c>
      <c r="C458" s="3" t="s">
        <v>10</v>
      </c>
      <c r="D458" s="3" t="s">
        <v>49</v>
      </c>
      <c r="E458" s="7" t="n">
        <v>5.9</v>
      </c>
      <c r="F458" s="4" t="n">
        <f aca="false">IFERROR(VLOOKUP(C458,BangGiaCuoc!$A$2:$C$9,3,0),0)</f>
        <v>32000</v>
      </c>
      <c r="G458" s="3" t="str">
        <f aca="false">IF(F458=0,"Lỗi mã (Cần kiểm tra)","Hợp lệ")</f>
        <v>Hợp lệ</v>
      </c>
      <c r="H458" s="3" t="s">
        <v>31</v>
      </c>
    </row>
    <row r="459" customFormat="false" ht="18.75" hidden="false" customHeight="true" outlineLevel="0" collapsed="false">
      <c r="A459" s="6" t="n">
        <v>458</v>
      </c>
      <c r="B459" s="5" t="s">
        <v>507</v>
      </c>
      <c r="C459" s="5" t="s">
        <v>14</v>
      </c>
      <c r="D459" s="5" t="s">
        <v>44</v>
      </c>
      <c r="E459" s="8" t="n">
        <v>6.4</v>
      </c>
      <c r="F459" s="6" t="n">
        <f aca="false">IFERROR(VLOOKUP(C459,BangGiaCuoc!$A$2:$C$9,3,0),0)</f>
        <v>75000</v>
      </c>
      <c r="G459" s="5" t="str">
        <f aca="false">IF(F459=0,"Lỗi mã (Cần kiểm tra)","Hợp lệ")</f>
        <v>Hợp lệ</v>
      </c>
      <c r="H459" s="5" t="s">
        <v>31</v>
      </c>
    </row>
    <row r="460" customFormat="false" ht="18.75" hidden="false" customHeight="true" outlineLevel="0" collapsed="false">
      <c r="A460" s="4" t="n">
        <v>459</v>
      </c>
      <c r="B460" s="3" t="s">
        <v>508</v>
      </c>
      <c r="C460" s="3" t="s">
        <v>16</v>
      </c>
      <c r="D460" s="3" t="s">
        <v>53</v>
      </c>
      <c r="E460" s="7" t="n">
        <v>1.3</v>
      </c>
      <c r="F460" s="4" t="n">
        <f aca="false">IFERROR(VLOOKUP(C460,BangGiaCuoc!$A$2:$C$9,3,0),0)</f>
        <v>65000</v>
      </c>
      <c r="G460" s="3" t="str">
        <f aca="false">IF(F460=0,"Lỗi mã (Cần kiểm tra)","Hợp lệ")</f>
        <v>Hợp lệ</v>
      </c>
      <c r="H460" s="3" t="s">
        <v>31</v>
      </c>
    </row>
    <row r="461" customFormat="false" ht="18.75" hidden="false" customHeight="true" outlineLevel="0" collapsed="false">
      <c r="A461" s="6" t="n">
        <v>460</v>
      </c>
      <c r="B461" s="5" t="s">
        <v>509</v>
      </c>
      <c r="C461" s="5" t="s">
        <v>16</v>
      </c>
      <c r="D461" s="5" t="s">
        <v>47</v>
      </c>
      <c r="E461" s="8" t="n">
        <v>5.3</v>
      </c>
      <c r="F461" s="6" t="n">
        <f aca="false">IFERROR(VLOOKUP(C461,BangGiaCuoc!$A$2:$C$9,3,0),0)</f>
        <v>65000</v>
      </c>
      <c r="G461" s="5" t="str">
        <f aca="false">IF(F461=0,"Lỗi mã (Cần kiểm tra)","Hợp lệ")</f>
        <v>Hợp lệ</v>
      </c>
      <c r="H461" s="5" t="s">
        <v>31</v>
      </c>
    </row>
    <row r="462" customFormat="false" ht="18.75" hidden="false" customHeight="true" outlineLevel="0" collapsed="false">
      <c r="A462" s="4" t="n">
        <v>461</v>
      </c>
      <c r="B462" s="3" t="s">
        <v>510</v>
      </c>
      <c r="C462" s="3" t="s">
        <v>18</v>
      </c>
      <c r="D462" s="3" t="s">
        <v>58</v>
      </c>
      <c r="E462" s="7" t="n">
        <v>4.2</v>
      </c>
      <c r="F462" s="4" t="n">
        <f aca="false">IFERROR(VLOOKUP(C462,BangGiaCuoc!$A$2:$C$9,3,0),0)</f>
        <v>90000</v>
      </c>
      <c r="G462" s="3" t="str">
        <f aca="false">IF(F462=0,"Lỗi mã (Cần kiểm tra)","Hợp lệ")</f>
        <v>Hợp lệ</v>
      </c>
      <c r="H462" s="3" t="s">
        <v>31</v>
      </c>
    </row>
    <row r="463" customFormat="false" ht="18.75" hidden="false" customHeight="true" outlineLevel="0" collapsed="false">
      <c r="A463" s="6" t="n">
        <v>462</v>
      </c>
      <c r="B463" s="5" t="s">
        <v>511</v>
      </c>
      <c r="C463" s="5" t="s">
        <v>10</v>
      </c>
      <c r="D463" s="5" t="s">
        <v>49</v>
      </c>
      <c r="E463" s="8" t="n">
        <v>1.7</v>
      </c>
      <c r="F463" s="6" t="n">
        <f aca="false">IFERROR(VLOOKUP(C463,BangGiaCuoc!$A$2:$C$9,3,0),0)</f>
        <v>32000</v>
      </c>
      <c r="G463" s="5" t="str">
        <f aca="false">IF(F463=0,"Lỗi mã (Cần kiểm tra)","Hợp lệ")</f>
        <v>Hợp lệ</v>
      </c>
      <c r="H463" s="5" t="s">
        <v>31</v>
      </c>
    </row>
    <row r="464" customFormat="false" ht="18.75" hidden="false" customHeight="true" outlineLevel="0" collapsed="false">
      <c r="A464" s="4" t="n">
        <v>463</v>
      </c>
      <c r="B464" s="3" t="s">
        <v>512</v>
      </c>
      <c r="C464" s="3" t="s">
        <v>10</v>
      </c>
      <c r="D464" s="3" t="s">
        <v>49</v>
      </c>
      <c r="E464" s="7" t="n">
        <v>5</v>
      </c>
      <c r="F464" s="4" t="n">
        <f aca="false">IFERROR(VLOOKUP(C464,BangGiaCuoc!$A$2:$C$9,3,0),0)</f>
        <v>32000</v>
      </c>
      <c r="G464" s="3" t="str">
        <f aca="false">IF(F464=0,"Lỗi mã (Cần kiểm tra)","Hợp lệ")</f>
        <v>Hợp lệ</v>
      </c>
      <c r="H464" s="3" t="s">
        <v>31</v>
      </c>
    </row>
    <row r="465" customFormat="false" ht="18.75" hidden="false" customHeight="true" outlineLevel="0" collapsed="false">
      <c r="A465" s="6" t="n">
        <v>464</v>
      </c>
      <c r="B465" s="5" t="s">
        <v>513</v>
      </c>
      <c r="C465" s="5" t="s">
        <v>18</v>
      </c>
      <c r="D465" s="5" t="s">
        <v>65</v>
      </c>
      <c r="E465" s="8" t="n">
        <v>9.1</v>
      </c>
      <c r="F465" s="6" t="n">
        <f aca="false">IFERROR(VLOOKUP(C465,BangGiaCuoc!$A$2:$C$9,3,0),0)</f>
        <v>90000</v>
      </c>
      <c r="G465" s="5" t="str">
        <f aca="false">IF(F465=0,"Lỗi mã (Cần kiểm tra)","Hợp lệ")</f>
        <v>Hợp lệ</v>
      </c>
      <c r="H465" s="5" t="s">
        <v>31</v>
      </c>
    </row>
    <row r="466" customFormat="false" ht="18.75" hidden="false" customHeight="true" outlineLevel="0" collapsed="false">
      <c r="A466" s="4" t="n">
        <v>465</v>
      </c>
      <c r="B466" s="3" t="s">
        <v>514</v>
      </c>
      <c r="C466" s="3" t="s">
        <v>8</v>
      </c>
      <c r="D466" s="3" t="s">
        <v>58</v>
      </c>
      <c r="E466" s="7" t="n">
        <v>8.6</v>
      </c>
      <c r="F466" s="4" t="n">
        <f aca="false">IFERROR(VLOOKUP(C466,BangGiaCuoc!$A$2:$C$9,3,0),0)</f>
        <v>40000</v>
      </c>
      <c r="G466" s="3" t="str">
        <f aca="false">IF(F466=0,"Lỗi mã (Cần kiểm tra)","Hợp lệ")</f>
        <v>Hợp lệ</v>
      </c>
      <c r="H466" s="3" t="s">
        <v>31</v>
      </c>
    </row>
    <row r="467" customFormat="false" ht="18.75" hidden="false" customHeight="true" outlineLevel="0" collapsed="false">
      <c r="A467" s="6" t="n">
        <v>466</v>
      </c>
      <c r="B467" s="5" t="s">
        <v>515</v>
      </c>
      <c r="C467" s="5" t="s">
        <v>16</v>
      </c>
      <c r="D467" s="5" t="s">
        <v>65</v>
      </c>
      <c r="E467" s="8" t="n">
        <v>10.2</v>
      </c>
      <c r="F467" s="6" t="n">
        <f aca="false">IFERROR(VLOOKUP(C467,BangGiaCuoc!$A$2:$C$9,3,0),0)</f>
        <v>65000</v>
      </c>
      <c r="G467" s="5" t="str">
        <f aca="false">IF(F467=0,"Lỗi mã (Cần kiểm tra)","Hợp lệ")</f>
        <v>Hợp lệ</v>
      </c>
      <c r="H467" s="5" t="s">
        <v>31</v>
      </c>
    </row>
    <row r="468" customFormat="false" ht="18.75" hidden="false" customHeight="true" outlineLevel="0" collapsed="false">
      <c r="A468" s="4" t="n">
        <v>467</v>
      </c>
      <c r="B468" s="3" t="s">
        <v>516</v>
      </c>
      <c r="C468" s="3" t="s">
        <v>8</v>
      </c>
      <c r="D468" s="3" t="s">
        <v>44</v>
      </c>
      <c r="E468" s="7" t="n">
        <v>7.9</v>
      </c>
      <c r="F468" s="4" t="n">
        <f aca="false">IFERROR(VLOOKUP(C468,BangGiaCuoc!$A$2:$C$9,3,0),0)</f>
        <v>40000</v>
      </c>
      <c r="G468" s="3" t="str">
        <f aca="false">IF(F468=0,"Lỗi mã (Cần kiểm tra)","Hợp lệ")</f>
        <v>Hợp lệ</v>
      </c>
      <c r="H468" s="3" t="s">
        <v>31</v>
      </c>
    </row>
    <row r="469" customFormat="false" ht="18.75" hidden="false" customHeight="true" outlineLevel="0" collapsed="false">
      <c r="A469" s="6" t="n">
        <v>468</v>
      </c>
      <c r="B469" s="5" t="s">
        <v>517</v>
      </c>
      <c r="C469" s="5" t="s">
        <v>5</v>
      </c>
      <c r="D469" s="5" t="s">
        <v>49</v>
      </c>
      <c r="E469" s="8" t="n">
        <v>5</v>
      </c>
      <c r="F469" s="6" t="n">
        <f aca="false">IFERROR(VLOOKUP(C469,BangGiaCuoc!$A$2:$C$9,3,0),0)</f>
        <v>22000</v>
      </c>
      <c r="G469" s="5" t="str">
        <f aca="false">IF(F469=0,"Lỗi mã (Cần kiểm tra)","Hợp lệ")</f>
        <v>Hợp lệ</v>
      </c>
      <c r="H469" s="5" t="s">
        <v>31</v>
      </c>
    </row>
    <row r="470" customFormat="false" ht="18.75" hidden="false" customHeight="true" outlineLevel="0" collapsed="false">
      <c r="A470" s="4" t="n">
        <v>469</v>
      </c>
      <c r="B470" s="3" t="s">
        <v>518</v>
      </c>
      <c r="C470" s="3" t="s">
        <v>12</v>
      </c>
      <c r="D470" s="3" t="s">
        <v>49</v>
      </c>
      <c r="E470" s="7" t="n">
        <v>14.2</v>
      </c>
      <c r="F470" s="4" t="n">
        <f aca="false">IFERROR(VLOOKUP(C470,BangGiaCuoc!$A$2:$C$9,3,0),0)</f>
        <v>55000</v>
      </c>
      <c r="G470" s="3" t="str">
        <f aca="false">IF(F470=0,"Lỗi mã (Cần kiểm tra)","Hợp lệ")</f>
        <v>Hợp lệ</v>
      </c>
      <c r="H470" s="3" t="s">
        <v>31</v>
      </c>
    </row>
    <row r="471" customFormat="false" ht="18.75" hidden="false" customHeight="true" outlineLevel="0" collapsed="false">
      <c r="A471" s="6" t="n">
        <v>470</v>
      </c>
      <c r="B471" s="5" t="s">
        <v>519</v>
      </c>
      <c r="C471" s="5" t="s">
        <v>20</v>
      </c>
      <c r="D471" s="5" t="s">
        <v>33</v>
      </c>
      <c r="E471" s="8" t="n">
        <v>3.8</v>
      </c>
      <c r="F471" s="6" t="n">
        <f aca="false">IFERROR(VLOOKUP(C471,BangGiaCuoc!$A$2:$C$9,3,0),0)</f>
        <v>110000</v>
      </c>
      <c r="G471" s="5" t="str">
        <f aca="false">IF(F471=0,"Lỗi mã (Cần kiểm tra)","Hợp lệ")</f>
        <v>Hợp lệ</v>
      </c>
      <c r="H471" s="5" t="s">
        <v>31</v>
      </c>
    </row>
    <row r="472" customFormat="false" ht="18.75" hidden="false" customHeight="true" outlineLevel="0" collapsed="false">
      <c r="A472" s="4" t="n">
        <v>471</v>
      </c>
      <c r="B472" s="3" t="s">
        <v>520</v>
      </c>
      <c r="C472" s="3" t="s">
        <v>10</v>
      </c>
      <c r="D472" s="3" t="s">
        <v>65</v>
      </c>
      <c r="E472" s="7" t="n">
        <v>1.6</v>
      </c>
      <c r="F472" s="4" t="n">
        <f aca="false">IFERROR(VLOOKUP(C472,BangGiaCuoc!$A$2:$C$9,3,0),0)</f>
        <v>32000</v>
      </c>
      <c r="G472" s="3" t="str">
        <f aca="false">IF(F472=0,"Lỗi mã (Cần kiểm tra)","Hợp lệ")</f>
        <v>Hợp lệ</v>
      </c>
      <c r="H472" s="3" t="s">
        <v>31</v>
      </c>
    </row>
    <row r="473" customFormat="false" ht="18.75" hidden="false" customHeight="true" outlineLevel="0" collapsed="false">
      <c r="A473" s="6" t="n">
        <v>472</v>
      </c>
      <c r="B473" s="5" t="s">
        <v>521</v>
      </c>
      <c r="C473" s="5" t="s">
        <v>8</v>
      </c>
      <c r="D473" s="5" t="s">
        <v>35</v>
      </c>
      <c r="E473" s="8" t="n">
        <v>11.7</v>
      </c>
      <c r="F473" s="6" t="n">
        <f aca="false">IFERROR(VLOOKUP(C473,BangGiaCuoc!$A$2:$C$9,3,0),0)</f>
        <v>40000</v>
      </c>
      <c r="G473" s="5" t="str">
        <f aca="false">IF(F473=0,"Lỗi mã (Cần kiểm tra)","Hợp lệ")</f>
        <v>Hợp lệ</v>
      </c>
      <c r="H473" s="5" t="s">
        <v>31</v>
      </c>
    </row>
    <row r="474" customFormat="false" ht="18.75" hidden="false" customHeight="true" outlineLevel="0" collapsed="false">
      <c r="A474" s="4" t="n">
        <v>473</v>
      </c>
      <c r="B474" s="3" t="s">
        <v>522</v>
      </c>
      <c r="C474" s="3" t="s">
        <v>5</v>
      </c>
      <c r="D474" s="3" t="s">
        <v>49</v>
      </c>
      <c r="E474" s="7" t="n">
        <v>13.2</v>
      </c>
      <c r="F474" s="4" t="n">
        <f aca="false">IFERROR(VLOOKUP(C474,BangGiaCuoc!$A$2:$C$9,3,0),0)</f>
        <v>22000</v>
      </c>
      <c r="G474" s="3" t="str">
        <f aca="false">IF(F474=0,"Lỗi mã (Cần kiểm tra)","Hợp lệ")</f>
        <v>Hợp lệ</v>
      </c>
      <c r="H474" s="3" t="s">
        <v>31</v>
      </c>
    </row>
    <row r="475" customFormat="false" ht="18.75" hidden="false" customHeight="true" outlineLevel="0" collapsed="false">
      <c r="A475" s="6" t="n">
        <v>474</v>
      </c>
      <c r="B475" s="5" t="s">
        <v>523</v>
      </c>
      <c r="C475" s="5" t="s">
        <v>10</v>
      </c>
      <c r="D475" s="5" t="s">
        <v>53</v>
      </c>
      <c r="E475" s="8" t="n">
        <v>6</v>
      </c>
      <c r="F475" s="6" t="n">
        <f aca="false">IFERROR(VLOOKUP(C475,BangGiaCuoc!$A$2:$C$9,3,0),0)</f>
        <v>32000</v>
      </c>
      <c r="G475" s="5" t="str">
        <f aca="false">IF(F475=0,"Lỗi mã (Cần kiểm tra)","Hợp lệ")</f>
        <v>Hợp lệ</v>
      </c>
      <c r="H475" s="5" t="s">
        <v>31</v>
      </c>
    </row>
    <row r="476" customFormat="false" ht="18.75" hidden="false" customHeight="true" outlineLevel="0" collapsed="false">
      <c r="A476" s="4" t="n">
        <v>475</v>
      </c>
      <c r="B476" s="3" t="s">
        <v>524</v>
      </c>
      <c r="C476" s="3" t="s">
        <v>10</v>
      </c>
      <c r="D476" s="3" t="s">
        <v>65</v>
      </c>
      <c r="E476" s="7" t="n">
        <v>12.6</v>
      </c>
      <c r="F476" s="4" t="n">
        <f aca="false">IFERROR(VLOOKUP(C476,BangGiaCuoc!$A$2:$C$9,3,0),0)</f>
        <v>32000</v>
      </c>
      <c r="G476" s="3" t="str">
        <f aca="false">IF(F476=0,"Lỗi mã (Cần kiểm tra)","Hợp lệ")</f>
        <v>Hợp lệ</v>
      </c>
      <c r="H476" s="3" t="s">
        <v>31</v>
      </c>
    </row>
    <row r="477" customFormat="false" ht="18.75" hidden="false" customHeight="true" outlineLevel="0" collapsed="false">
      <c r="A477" s="6" t="n">
        <v>476</v>
      </c>
      <c r="B477" s="5" t="s">
        <v>525</v>
      </c>
      <c r="C477" s="5" t="s">
        <v>10</v>
      </c>
      <c r="D477" s="5" t="s">
        <v>72</v>
      </c>
      <c r="E477" s="8" t="n">
        <v>1.1</v>
      </c>
      <c r="F477" s="6" t="n">
        <f aca="false">IFERROR(VLOOKUP(C477,BangGiaCuoc!$A$2:$C$9,3,0),0)</f>
        <v>32000</v>
      </c>
      <c r="G477" s="5" t="str">
        <f aca="false">IF(F477=0,"Lỗi mã (Cần kiểm tra)","Hợp lệ")</f>
        <v>Hợp lệ</v>
      </c>
      <c r="H477" s="5" t="s">
        <v>31</v>
      </c>
    </row>
    <row r="478" customFormat="false" ht="18.75" hidden="false" customHeight="true" outlineLevel="0" collapsed="false">
      <c r="A478" s="4" t="n">
        <v>477</v>
      </c>
      <c r="B478" s="3" t="s">
        <v>526</v>
      </c>
      <c r="C478" s="3" t="s">
        <v>16</v>
      </c>
      <c r="D478" s="3" t="s">
        <v>33</v>
      </c>
      <c r="E478" s="7" t="n">
        <v>14.6</v>
      </c>
      <c r="F478" s="4" t="n">
        <f aca="false">IFERROR(VLOOKUP(C478,BangGiaCuoc!$A$2:$C$9,3,0),0)</f>
        <v>65000</v>
      </c>
      <c r="G478" s="3" t="str">
        <f aca="false">IF(F478=0,"Lỗi mã (Cần kiểm tra)","Hợp lệ")</f>
        <v>Hợp lệ</v>
      </c>
      <c r="H478" s="3" t="s">
        <v>31</v>
      </c>
    </row>
    <row r="479" customFormat="false" ht="18.75" hidden="false" customHeight="true" outlineLevel="0" collapsed="false">
      <c r="A479" s="6" t="n">
        <v>478</v>
      </c>
      <c r="B479" s="5" t="s">
        <v>527</v>
      </c>
      <c r="C479" s="5" t="s">
        <v>14</v>
      </c>
      <c r="D479" s="5" t="s">
        <v>72</v>
      </c>
      <c r="E479" s="8" t="n">
        <v>3.9</v>
      </c>
      <c r="F479" s="6" t="n">
        <f aca="false">IFERROR(VLOOKUP(C479,BangGiaCuoc!$A$2:$C$9,3,0),0)</f>
        <v>75000</v>
      </c>
      <c r="G479" s="5" t="str">
        <f aca="false">IF(F479=0,"Lỗi mã (Cần kiểm tra)","Hợp lệ")</f>
        <v>Hợp lệ</v>
      </c>
      <c r="H479" s="5" t="s">
        <v>31</v>
      </c>
    </row>
    <row r="480" customFormat="false" ht="18.75" hidden="false" customHeight="true" outlineLevel="0" collapsed="false">
      <c r="A480" s="4" t="n">
        <v>479</v>
      </c>
      <c r="B480" s="3" t="s">
        <v>528</v>
      </c>
      <c r="C480" s="3" t="s">
        <v>12</v>
      </c>
      <c r="D480" s="3" t="s">
        <v>58</v>
      </c>
      <c r="E480" s="7" t="n">
        <v>14.5</v>
      </c>
      <c r="F480" s="4" t="n">
        <f aca="false">IFERROR(VLOOKUP(C480,BangGiaCuoc!$A$2:$C$9,3,0),0)</f>
        <v>55000</v>
      </c>
      <c r="G480" s="3" t="str">
        <f aca="false">IF(F480=0,"Lỗi mã (Cần kiểm tra)","Hợp lệ")</f>
        <v>Hợp lệ</v>
      </c>
      <c r="H480" s="3" t="s">
        <v>31</v>
      </c>
    </row>
    <row r="481" customFormat="false" ht="18.75" hidden="false" customHeight="true" outlineLevel="0" collapsed="false">
      <c r="A481" s="6" t="n">
        <v>480</v>
      </c>
      <c r="B481" s="5" t="s">
        <v>529</v>
      </c>
      <c r="C481" s="5" t="s">
        <v>20</v>
      </c>
      <c r="D481" s="5" t="s">
        <v>33</v>
      </c>
      <c r="E481" s="8" t="n">
        <v>5.8</v>
      </c>
      <c r="F481" s="6" t="n">
        <f aca="false">IFERROR(VLOOKUP(C481,BangGiaCuoc!$A$2:$C$9,3,0),0)</f>
        <v>110000</v>
      </c>
      <c r="G481" s="5" t="str">
        <f aca="false">IF(F481=0,"Lỗi mã (Cần kiểm tra)","Hợp lệ")</f>
        <v>Hợp lệ</v>
      </c>
      <c r="H481" s="5" t="s">
        <v>31</v>
      </c>
    </row>
    <row r="482" customFormat="false" ht="18.75" hidden="false" customHeight="true" outlineLevel="0" collapsed="false">
      <c r="A482" s="4" t="n">
        <v>481</v>
      </c>
      <c r="B482" s="3" t="s">
        <v>530</v>
      </c>
      <c r="C482" s="3" t="s">
        <v>20</v>
      </c>
      <c r="D482" s="3" t="s">
        <v>72</v>
      </c>
      <c r="E482" s="7" t="n">
        <v>11.7</v>
      </c>
      <c r="F482" s="4" t="n">
        <f aca="false">IFERROR(VLOOKUP(C482,BangGiaCuoc!$A$2:$C$9,3,0),0)</f>
        <v>110000</v>
      </c>
      <c r="G482" s="3" t="str">
        <f aca="false">IF(F482=0,"Lỗi mã (Cần kiểm tra)","Hợp lệ")</f>
        <v>Hợp lệ</v>
      </c>
      <c r="H482" s="3" t="s">
        <v>31</v>
      </c>
    </row>
    <row r="483" customFormat="false" ht="18.75" hidden="false" customHeight="true" outlineLevel="0" collapsed="false">
      <c r="A483" s="6" t="n">
        <v>482</v>
      </c>
      <c r="B483" s="5" t="s">
        <v>531</v>
      </c>
      <c r="C483" s="5" t="s">
        <v>18</v>
      </c>
      <c r="D483" s="5" t="s">
        <v>35</v>
      </c>
      <c r="E483" s="8" t="n">
        <v>8.1</v>
      </c>
      <c r="F483" s="6" t="n">
        <f aca="false">IFERROR(VLOOKUP(C483,BangGiaCuoc!$A$2:$C$9,3,0),0)</f>
        <v>90000</v>
      </c>
      <c r="G483" s="5" t="str">
        <f aca="false">IF(F483=0,"Lỗi mã (Cần kiểm tra)","Hợp lệ")</f>
        <v>Hợp lệ</v>
      </c>
      <c r="H483" s="5" t="s">
        <v>31</v>
      </c>
    </row>
    <row r="484" customFormat="false" ht="18.75" hidden="false" customHeight="true" outlineLevel="0" collapsed="false">
      <c r="A484" s="4" t="n">
        <v>483</v>
      </c>
      <c r="B484" s="3" t="s">
        <v>532</v>
      </c>
      <c r="C484" s="3" t="s">
        <v>10</v>
      </c>
      <c r="D484" s="3" t="s">
        <v>33</v>
      </c>
      <c r="E484" s="7" t="n">
        <v>12.1</v>
      </c>
      <c r="F484" s="4" t="n">
        <f aca="false">IFERROR(VLOOKUP(C484,BangGiaCuoc!$A$2:$C$9,3,0),0)</f>
        <v>32000</v>
      </c>
      <c r="G484" s="3" t="str">
        <f aca="false">IF(F484=0,"Lỗi mã (Cần kiểm tra)","Hợp lệ")</f>
        <v>Hợp lệ</v>
      </c>
      <c r="H484" s="3" t="s">
        <v>31</v>
      </c>
    </row>
    <row r="485" customFormat="false" ht="18.75" hidden="false" customHeight="true" outlineLevel="0" collapsed="false">
      <c r="A485" s="6" t="n">
        <v>484</v>
      </c>
      <c r="B485" s="5" t="s">
        <v>533</v>
      </c>
      <c r="C485" s="5" t="s">
        <v>10</v>
      </c>
      <c r="D485" s="5" t="s">
        <v>58</v>
      </c>
      <c r="E485" s="8" t="n">
        <v>1.3</v>
      </c>
      <c r="F485" s="6" t="n">
        <f aca="false">IFERROR(VLOOKUP(C485,BangGiaCuoc!$A$2:$C$9,3,0),0)</f>
        <v>32000</v>
      </c>
      <c r="G485" s="5" t="str">
        <f aca="false">IF(F485=0,"Lỗi mã (Cần kiểm tra)","Hợp lệ")</f>
        <v>Hợp lệ</v>
      </c>
      <c r="H485" s="5" t="s">
        <v>31</v>
      </c>
    </row>
    <row r="486" customFormat="false" ht="18.75" hidden="false" customHeight="true" outlineLevel="0" collapsed="false">
      <c r="A486" s="4" t="n">
        <v>485</v>
      </c>
      <c r="B486" s="3" t="s">
        <v>534</v>
      </c>
      <c r="C486" s="3" t="s">
        <v>20</v>
      </c>
      <c r="D486" s="3" t="s">
        <v>49</v>
      </c>
      <c r="E486" s="7" t="n">
        <v>8.5</v>
      </c>
      <c r="F486" s="4" t="n">
        <f aca="false">IFERROR(VLOOKUP(C486,BangGiaCuoc!$A$2:$C$9,3,0),0)</f>
        <v>110000</v>
      </c>
      <c r="G486" s="3" t="str">
        <f aca="false">IF(F486=0,"Lỗi mã (Cần kiểm tra)","Hợp lệ")</f>
        <v>Hợp lệ</v>
      </c>
      <c r="H486" s="3" t="s">
        <v>31</v>
      </c>
    </row>
    <row r="487" customFormat="false" ht="18.75" hidden="false" customHeight="true" outlineLevel="0" collapsed="false">
      <c r="A487" s="6" t="n">
        <v>486</v>
      </c>
      <c r="B487" s="5" t="s">
        <v>535</v>
      </c>
      <c r="C487" s="5" t="s">
        <v>8</v>
      </c>
      <c r="D487" s="5" t="s">
        <v>35</v>
      </c>
      <c r="E487" s="8" t="n">
        <v>12.8</v>
      </c>
      <c r="F487" s="6" t="n">
        <f aca="false">IFERROR(VLOOKUP(C487,BangGiaCuoc!$A$2:$C$9,3,0),0)</f>
        <v>40000</v>
      </c>
      <c r="G487" s="5" t="str">
        <f aca="false">IF(F487=0,"Lỗi mã (Cần kiểm tra)","Hợp lệ")</f>
        <v>Hợp lệ</v>
      </c>
      <c r="H487" s="5" t="s">
        <v>31</v>
      </c>
    </row>
    <row r="488" customFormat="false" ht="18.75" hidden="false" customHeight="true" outlineLevel="0" collapsed="false">
      <c r="A488" s="4" t="n">
        <v>487</v>
      </c>
      <c r="B488" s="3" t="s">
        <v>536</v>
      </c>
      <c r="C488" s="3" t="s">
        <v>14</v>
      </c>
      <c r="D488" s="3" t="s">
        <v>47</v>
      </c>
      <c r="E488" s="7" t="n">
        <v>11.6</v>
      </c>
      <c r="F488" s="4" t="n">
        <f aca="false">IFERROR(VLOOKUP(C488,BangGiaCuoc!$A$2:$C$9,3,0),0)</f>
        <v>75000</v>
      </c>
      <c r="G488" s="3" t="str">
        <f aca="false">IF(F488=0,"Lỗi mã (Cần kiểm tra)","Hợp lệ")</f>
        <v>Hợp lệ</v>
      </c>
      <c r="H488" s="3" t="s">
        <v>31</v>
      </c>
    </row>
    <row r="489" customFormat="false" ht="18.75" hidden="false" customHeight="true" outlineLevel="0" collapsed="false">
      <c r="A489" s="6" t="n">
        <v>488</v>
      </c>
      <c r="B489" s="5" t="s">
        <v>537</v>
      </c>
      <c r="C489" s="5" t="s">
        <v>14</v>
      </c>
      <c r="D489" s="5" t="s">
        <v>72</v>
      </c>
      <c r="E489" s="8" t="n">
        <v>13.6</v>
      </c>
      <c r="F489" s="6" t="n">
        <f aca="false">IFERROR(VLOOKUP(C489,BangGiaCuoc!$A$2:$C$9,3,0),0)</f>
        <v>75000</v>
      </c>
      <c r="G489" s="5" t="str">
        <f aca="false">IF(F489=0,"Lỗi mã (Cần kiểm tra)","Hợp lệ")</f>
        <v>Hợp lệ</v>
      </c>
      <c r="H489" s="5" t="s">
        <v>31</v>
      </c>
    </row>
    <row r="490" customFormat="false" ht="18.75" hidden="false" customHeight="true" outlineLevel="0" collapsed="false">
      <c r="A490" s="4" t="n">
        <v>489</v>
      </c>
      <c r="B490" s="3" t="s">
        <v>538</v>
      </c>
      <c r="C490" s="3" t="s">
        <v>10</v>
      </c>
      <c r="D490" s="3" t="s">
        <v>44</v>
      </c>
      <c r="E490" s="7" t="n">
        <v>1.8</v>
      </c>
      <c r="F490" s="4" t="n">
        <f aca="false">IFERROR(VLOOKUP(C490,BangGiaCuoc!$A$2:$C$9,3,0),0)</f>
        <v>32000</v>
      </c>
      <c r="G490" s="3" t="str">
        <f aca="false">IF(F490=0,"Lỗi mã (Cần kiểm tra)","Hợp lệ")</f>
        <v>Hợp lệ</v>
      </c>
      <c r="H490" s="3" t="s">
        <v>31</v>
      </c>
    </row>
    <row r="491" customFormat="false" ht="18.75" hidden="false" customHeight="true" outlineLevel="0" collapsed="false">
      <c r="A491" s="6" t="n">
        <v>490</v>
      </c>
      <c r="B491" s="5" t="s">
        <v>539</v>
      </c>
      <c r="C491" s="5" t="s">
        <v>12</v>
      </c>
      <c r="D491" s="5" t="s">
        <v>72</v>
      </c>
      <c r="E491" s="8" t="n">
        <v>13.3</v>
      </c>
      <c r="F491" s="6" t="n">
        <f aca="false">IFERROR(VLOOKUP(C491,BangGiaCuoc!$A$2:$C$9,3,0),0)</f>
        <v>55000</v>
      </c>
      <c r="G491" s="5" t="str">
        <f aca="false">IF(F491=0,"Lỗi mã (Cần kiểm tra)","Hợp lệ")</f>
        <v>Hợp lệ</v>
      </c>
      <c r="H491" s="5" t="s">
        <v>31</v>
      </c>
    </row>
    <row r="492" customFormat="false" ht="18.75" hidden="false" customHeight="true" outlineLevel="0" collapsed="false">
      <c r="A492" s="4" t="n">
        <v>491</v>
      </c>
      <c r="B492" s="3" t="s">
        <v>540</v>
      </c>
      <c r="C492" s="3" t="s">
        <v>5</v>
      </c>
      <c r="D492" s="3" t="s">
        <v>44</v>
      </c>
      <c r="E492" s="7" t="n">
        <v>1.3</v>
      </c>
      <c r="F492" s="4" t="n">
        <f aca="false">IFERROR(VLOOKUP(C492,BangGiaCuoc!$A$2:$C$9,3,0),0)</f>
        <v>22000</v>
      </c>
      <c r="G492" s="3" t="str">
        <f aca="false">IF(F492=0,"Lỗi mã (Cần kiểm tra)","Hợp lệ")</f>
        <v>Hợp lệ</v>
      </c>
      <c r="H492" s="3" t="s">
        <v>31</v>
      </c>
    </row>
    <row r="493" customFormat="false" ht="18.75" hidden="false" customHeight="true" outlineLevel="0" collapsed="false">
      <c r="A493" s="6" t="n">
        <v>492</v>
      </c>
      <c r="B493" s="5" t="s">
        <v>541</v>
      </c>
      <c r="C493" s="5" t="s">
        <v>16</v>
      </c>
      <c r="D493" s="5" t="s">
        <v>33</v>
      </c>
      <c r="E493" s="8" t="n">
        <v>6.1</v>
      </c>
      <c r="F493" s="6" t="n">
        <f aca="false">IFERROR(VLOOKUP(C493,BangGiaCuoc!$A$2:$C$9,3,0),0)</f>
        <v>65000</v>
      </c>
      <c r="G493" s="5" t="str">
        <f aca="false">IF(F493=0,"Lỗi mã (Cần kiểm tra)","Hợp lệ")</f>
        <v>Hợp lệ</v>
      </c>
      <c r="H493" s="5" t="s">
        <v>31</v>
      </c>
    </row>
    <row r="494" customFormat="false" ht="18.75" hidden="false" customHeight="true" outlineLevel="0" collapsed="false">
      <c r="A494" s="4" t="n">
        <v>493</v>
      </c>
      <c r="B494" s="3" t="s">
        <v>542</v>
      </c>
      <c r="C494" s="3" t="s">
        <v>8</v>
      </c>
      <c r="D494" s="3" t="s">
        <v>49</v>
      </c>
      <c r="E494" s="7" t="n">
        <v>3.8</v>
      </c>
      <c r="F494" s="4" t="n">
        <f aca="false">IFERROR(VLOOKUP(C494,BangGiaCuoc!$A$2:$C$9,3,0),0)</f>
        <v>40000</v>
      </c>
      <c r="G494" s="3" t="str">
        <f aca="false">IF(F494=0,"Lỗi mã (Cần kiểm tra)","Hợp lệ")</f>
        <v>Hợp lệ</v>
      </c>
      <c r="H494" s="3" t="s">
        <v>31</v>
      </c>
    </row>
    <row r="495" customFormat="false" ht="18.75" hidden="false" customHeight="true" outlineLevel="0" collapsed="false">
      <c r="A495" s="6" t="n">
        <v>494</v>
      </c>
      <c r="B495" s="5" t="s">
        <v>543</v>
      </c>
      <c r="C495" s="5" t="s">
        <v>16</v>
      </c>
      <c r="D495" s="5" t="s">
        <v>47</v>
      </c>
      <c r="E495" s="8" t="n">
        <v>12.7</v>
      </c>
      <c r="F495" s="6" t="n">
        <f aca="false">IFERROR(VLOOKUP(C495,BangGiaCuoc!$A$2:$C$9,3,0),0)</f>
        <v>65000</v>
      </c>
      <c r="G495" s="5" t="str">
        <f aca="false">IF(F495=0,"Lỗi mã (Cần kiểm tra)","Hợp lệ")</f>
        <v>Hợp lệ</v>
      </c>
      <c r="H495" s="5" t="s">
        <v>31</v>
      </c>
    </row>
    <row r="496" customFormat="false" ht="18.75" hidden="false" customHeight="true" outlineLevel="0" collapsed="false">
      <c r="A496" s="4" t="n">
        <v>495</v>
      </c>
      <c r="B496" s="3" t="s">
        <v>544</v>
      </c>
      <c r="C496" s="3" t="s">
        <v>16</v>
      </c>
      <c r="D496" s="3" t="s">
        <v>65</v>
      </c>
      <c r="E496" s="7" t="n">
        <v>2.5</v>
      </c>
      <c r="F496" s="4" t="n">
        <f aca="false">IFERROR(VLOOKUP(C496,BangGiaCuoc!$A$2:$C$9,3,0),0)</f>
        <v>65000</v>
      </c>
      <c r="G496" s="3" t="str">
        <f aca="false">IF(F496=0,"Lỗi mã (Cần kiểm tra)","Hợp lệ")</f>
        <v>Hợp lệ</v>
      </c>
      <c r="H496" s="3" t="s">
        <v>31</v>
      </c>
    </row>
    <row r="497" customFormat="false" ht="18.75" hidden="false" customHeight="true" outlineLevel="0" collapsed="false">
      <c r="A497" s="6" t="n">
        <v>496</v>
      </c>
      <c r="B497" s="5" t="s">
        <v>545</v>
      </c>
      <c r="C497" s="5" t="s">
        <v>14</v>
      </c>
      <c r="D497" s="5" t="s">
        <v>72</v>
      </c>
      <c r="E497" s="8" t="n">
        <v>10.6</v>
      </c>
      <c r="F497" s="6" t="n">
        <f aca="false">IFERROR(VLOOKUP(C497,BangGiaCuoc!$A$2:$C$9,3,0),0)</f>
        <v>75000</v>
      </c>
      <c r="G497" s="5" t="str">
        <f aca="false">IF(F497=0,"Lỗi mã (Cần kiểm tra)","Hợp lệ")</f>
        <v>Hợp lệ</v>
      </c>
      <c r="H497" s="5" t="s">
        <v>31</v>
      </c>
    </row>
    <row r="498" customFormat="false" ht="18.75" hidden="false" customHeight="true" outlineLevel="0" collapsed="false">
      <c r="A498" s="4" t="n">
        <v>497</v>
      </c>
      <c r="B498" s="3" t="s">
        <v>546</v>
      </c>
      <c r="C498" s="3" t="s">
        <v>10</v>
      </c>
      <c r="D498" s="3" t="s">
        <v>72</v>
      </c>
      <c r="E498" s="7" t="n">
        <v>7</v>
      </c>
      <c r="F498" s="4" t="n">
        <f aca="false">IFERROR(VLOOKUP(C498,BangGiaCuoc!$A$2:$C$9,3,0),0)</f>
        <v>32000</v>
      </c>
      <c r="G498" s="3" t="str">
        <f aca="false">IF(F498=0,"Lỗi mã (Cần kiểm tra)","Hợp lệ")</f>
        <v>Hợp lệ</v>
      </c>
      <c r="H498" s="3" t="s">
        <v>31</v>
      </c>
    </row>
    <row r="499" customFormat="false" ht="18.75" hidden="false" customHeight="true" outlineLevel="0" collapsed="false">
      <c r="A499" s="6" t="n">
        <v>498</v>
      </c>
      <c r="B499" s="5" t="s">
        <v>547</v>
      </c>
      <c r="C499" s="5" t="s">
        <v>5</v>
      </c>
      <c r="D499" s="5" t="s">
        <v>47</v>
      </c>
      <c r="E499" s="8" t="n">
        <v>0.8</v>
      </c>
      <c r="F499" s="6" t="n">
        <f aca="false">IFERROR(VLOOKUP(C499,BangGiaCuoc!$A$2:$C$9,3,0),0)</f>
        <v>22000</v>
      </c>
      <c r="G499" s="5" t="str">
        <f aca="false">IF(F499=0,"Lỗi mã (Cần kiểm tra)","Hợp lệ")</f>
        <v>Hợp lệ</v>
      </c>
      <c r="H499" s="5" t="s">
        <v>31</v>
      </c>
    </row>
    <row r="500" customFormat="false" ht="18.75" hidden="false" customHeight="true" outlineLevel="0" collapsed="false">
      <c r="A500" s="4" t="n">
        <v>499</v>
      </c>
      <c r="B500" s="3" t="s">
        <v>548</v>
      </c>
      <c r="C500" s="3" t="s">
        <v>12</v>
      </c>
      <c r="D500" s="3" t="s">
        <v>65</v>
      </c>
      <c r="E500" s="7" t="n">
        <v>8.5</v>
      </c>
      <c r="F500" s="4" t="n">
        <f aca="false">IFERROR(VLOOKUP(C500,BangGiaCuoc!$A$2:$C$9,3,0),0)</f>
        <v>55000</v>
      </c>
      <c r="G500" s="3" t="str">
        <f aca="false">IF(F500=0,"Lỗi mã (Cần kiểm tra)","Hợp lệ")</f>
        <v>Hợp lệ</v>
      </c>
      <c r="H500" s="3" t="s">
        <v>31</v>
      </c>
    </row>
    <row r="501" customFormat="false" ht="18.75" hidden="false" customHeight="true" outlineLevel="0" collapsed="false">
      <c r="A501" s="6" t="n">
        <v>500</v>
      </c>
      <c r="B501" s="5" t="s">
        <v>549</v>
      </c>
      <c r="C501" s="5" t="s">
        <v>18</v>
      </c>
      <c r="D501" s="5" t="s">
        <v>47</v>
      </c>
      <c r="E501" s="8" t="n">
        <v>11.8</v>
      </c>
      <c r="F501" s="6" t="n">
        <f aca="false">IFERROR(VLOOKUP(C501,BangGiaCuoc!$A$2:$C$9,3,0),0)</f>
        <v>90000</v>
      </c>
      <c r="G501" s="5" t="str">
        <f aca="false">IF(F501=0,"Lỗi mã (Cần kiểm tra)","Hợp lệ")</f>
        <v>Hợp lệ</v>
      </c>
      <c r="H501" s="5" t="s">
        <v>31</v>
      </c>
    </row>
    <row r="502" customFormat="false" ht="21.75" hidden="false" customHeight="true" outlineLevel="0" collapsed="false">
      <c r="A502" s="9" t="n">
        <v>501</v>
      </c>
      <c r="B502" s="10" t="s">
        <v>550</v>
      </c>
      <c r="C502" s="10" t="s">
        <v>551</v>
      </c>
      <c r="D502" s="10" t="s">
        <v>552</v>
      </c>
      <c r="E502" s="11" t="n">
        <f aca="false">SUM(E2:E501)</f>
        <v>3865.4</v>
      </c>
      <c r="F502" s="9" t="n">
        <f aca="false">SUM(F2:F501)</f>
        <v>30830000</v>
      </c>
      <c r="G502" s="10" t="str">
        <f aca="false">COUNTIF(G2:G501,"Lỗi mã (Cần kiểm tra)")&amp;" đơn lỗi"</f>
        <v>4 đơn lỗi</v>
      </c>
      <c r="H502" s="10" t="s">
        <v>553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3"/>
    <col collapsed="false" customWidth="true" hidden="false" outlineLevel="0" max="3" min="2" style="0" width="18"/>
    <col collapsed="false" customWidth="true" hidden="false" outlineLevel="0" max="4" min="4" style="0" width="22"/>
    <col collapsed="false" customWidth="true" hidden="false" outlineLevel="0" max="5" min="5" style="0" width="20"/>
    <col collapsed="false" customWidth="true" hidden="false" outlineLevel="0" max="6" min="6" style="0" width="22"/>
    <col collapsed="false" customWidth="true" hidden="false" outlineLevel="0" max="7" min="7" style="0" width="4"/>
  </cols>
  <sheetData>
    <row r="1" customFormat="false" ht="24" hidden="false" customHeight="true" outlineLevel="0" collapsed="false">
      <c r="A1" s="1" t="s">
        <v>554</v>
      </c>
      <c r="B1" s="2" t="s">
        <v>555</v>
      </c>
      <c r="C1" s="2" t="s">
        <v>556</v>
      </c>
      <c r="D1" s="2" t="s">
        <v>557</v>
      </c>
      <c r="E1" s="2" t="s">
        <v>558</v>
      </c>
      <c r="F1" s="1" t="s">
        <v>559</v>
      </c>
    </row>
    <row r="2" customFormat="false" ht="21" hidden="false" customHeight="true" outlineLevel="0" collapsed="false">
      <c r="A2" s="12" t="s">
        <v>560</v>
      </c>
      <c r="B2" s="13" t="n">
        <v>1250</v>
      </c>
      <c r="C2" s="13" t="n">
        <v>1225</v>
      </c>
      <c r="D2" s="14" t="n">
        <f aca="false">C2/B2</f>
        <v>0.98</v>
      </c>
      <c r="E2" s="14" t="n">
        <v>0.92</v>
      </c>
      <c r="F2" s="12" t="str">
        <f aca="false">IF(D2&gt;=E2,"Đạt KPI","Chưa đạt KPI")</f>
        <v>Đạt KPI</v>
      </c>
    </row>
    <row r="3" customFormat="false" ht="21" hidden="false" customHeight="true" outlineLevel="0" collapsed="false">
      <c r="A3" s="5" t="s">
        <v>561</v>
      </c>
      <c r="B3" s="6" t="n">
        <v>980</v>
      </c>
      <c r="C3" s="6" t="n">
        <v>915</v>
      </c>
      <c r="D3" s="15" t="n">
        <f aca="false">C3/B3</f>
        <v>0.933673469387755</v>
      </c>
      <c r="E3" s="15" t="n">
        <v>0.92</v>
      </c>
      <c r="F3" s="5" t="str">
        <f aca="false">IF(D3&gt;=E3,"Đạt KPI","Chưa đạt KPI")</f>
        <v>Đạt KPI</v>
      </c>
    </row>
    <row r="4" customFormat="false" ht="21" hidden="false" customHeight="true" outlineLevel="0" collapsed="false">
      <c r="A4" s="3" t="s">
        <v>562</v>
      </c>
      <c r="B4" s="4" t="n">
        <v>920</v>
      </c>
      <c r="C4" s="4" t="n">
        <v>850</v>
      </c>
      <c r="D4" s="16" t="n">
        <f aca="false">C4/B4</f>
        <v>0.923913043478261</v>
      </c>
      <c r="E4" s="16" t="n">
        <v>0.92</v>
      </c>
      <c r="F4" s="3" t="str">
        <f aca="false">IF(D4&gt;=E4,"Đạt KPI","Chưa đạt KPI")</f>
        <v>Đạt KPI</v>
      </c>
    </row>
    <row r="5" customFormat="false" ht="21" hidden="false" customHeight="true" outlineLevel="0" collapsed="false">
      <c r="A5" s="5" t="s">
        <v>563</v>
      </c>
      <c r="B5" s="6" t="n">
        <v>890</v>
      </c>
      <c r="C5" s="6" t="n">
        <v>810</v>
      </c>
      <c r="D5" s="15" t="n">
        <f aca="false">C5/B5</f>
        <v>0.910112359550562</v>
      </c>
      <c r="E5" s="15" t="n">
        <v>0.92</v>
      </c>
      <c r="F5" s="5" t="str">
        <f aca="false">IF(D5&gt;=E5,"Đạt KPI","Chưa đạt KPI")</f>
        <v>Chưa đạt KPI</v>
      </c>
    </row>
    <row r="6" customFormat="false" ht="21" hidden="false" customHeight="true" outlineLevel="0" collapsed="false">
      <c r="A6" s="3" t="s">
        <v>564</v>
      </c>
      <c r="B6" s="4" t="n">
        <v>840</v>
      </c>
      <c r="C6" s="4" t="n">
        <v>756</v>
      </c>
      <c r="D6" s="16" t="n">
        <f aca="false">C6/B6</f>
        <v>0.9</v>
      </c>
      <c r="E6" s="16" t="n">
        <v>0.92</v>
      </c>
      <c r="F6" s="3" t="str">
        <f aca="false">IF(D6&gt;=E6,"Đạt KPI","Chưa đạt KPI")</f>
        <v>Chưa đạt KPI</v>
      </c>
    </row>
    <row r="7" customFormat="false" ht="21" hidden="false" customHeight="true" outlineLevel="0" collapsed="false">
      <c r="A7" s="17" t="s">
        <v>565</v>
      </c>
      <c r="B7" s="18" t="n">
        <v>760</v>
      </c>
      <c r="C7" s="18" t="n">
        <v>620</v>
      </c>
      <c r="D7" s="19" t="n">
        <f aca="false">C7/B7</f>
        <v>0.815789473684211</v>
      </c>
      <c r="E7" s="19" t="n">
        <v>0.92</v>
      </c>
      <c r="F7" s="17" t="str">
        <f aca="false">IF(D7&gt;=E7,"Đạt KPI","Chưa đạt KPI")</f>
        <v>Chưa đạt KPI</v>
      </c>
    </row>
    <row r="8" customFormat="false" ht="21.75" hidden="false" customHeight="true" outlineLevel="0" collapsed="false">
      <c r="A8" s="10" t="s">
        <v>566</v>
      </c>
      <c r="B8" s="9" t="n">
        <f aca="false">SUM(B2:B7)</f>
        <v>5640</v>
      </c>
      <c r="C8" s="9" t="n">
        <f aca="false">SUM(C2:C7)</f>
        <v>5176</v>
      </c>
      <c r="D8" s="20" t="n">
        <f aca="false">C8/B8</f>
        <v>0.917730496453901</v>
      </c>
      <c r="E8" s="20" t="n">
        <v>0.92</v>
      </c>
      <c r="F8" s="10" t="str">
        <f aca="false">IF(D8&gt;=E8,"Đạt KPI","Chưa đạt KPI")</f>
        <v>Chưa đạt KPI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2026-10-26T23:14:44Z</dcterms:created>
  <dc:creator>openpyxl</dc:creator>
  <dc:description/>
  <dc:language>en-US</dc:language>
  <cp:lastModifiedBy/>
  <dcterms:modified xsi:type="dcterms:W3CDTF">2026-10-26T23:14:44Z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